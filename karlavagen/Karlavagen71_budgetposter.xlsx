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manfattning" sheetId="1" state="visible" r:id="rId3"/>
    <sheet name="Materialval" sheetId="2" state="visible" r:id="rId4"/>
    <sheet name="Detaljer" sheetId="3" state="visible" r:id="rId5"/>
    <sheet name="Fakturor" sheetId="4" state="visible" r:id="rId6"/>
    <sheet name="Antaganden" sheetId="5" state="visible" r:id="rId7"/>
  </sheets>
  <definedNames>
    <definedName function="false" hidden="true" localSheetId="2" name="_xlnm._FilterDatabase" vbProcedure="false">Detaljer!$A$4:$X$75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Antagande: offertens −200 000 kr. Beviljat hittills är bara 27 666 kr. Ändra här, så räknas alla nivåer om.</t>
        </r>
      </text>
    </comment>
    <comment ref="D20" authorId="0">
      <text>
        <r>
          <rPr>
            <sz val="10"/>
            <rFont val="Arial"/>
            <family val="2"/>
          </rPr>
          <t xml:space="preserve">Löpande räkning utan uppskattning.</t>
        </r>
      </text>
    </comment>
    <comment ref="D26" authorId="0">
      <text>
        <r>
          <rPr>
            <sz val="10"/>
            <rFont val="Arial"/>
            <family val="2"/>
          </rPr>
          <t xml:space="preserve">Löpande räkning utan uppskattning.</t>
        </r>
      </text>
    </comment>
    <comment ref="E28" authorId="0">
      <text>
        <r>
          <rPr>
            <sz val="10"/>
            <rFont val="Arial"/>
            <family val="2"/>
          </rPr>
          <t xml:space="preserve">Beviljat av Skatteverket hittills (faktura 132354).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68" authorId="0">
      <text>
        <r>
          <rPr>
            <sz val="10"/>
            <rFont val="Arial"/>
            <family val="2"/>
          </rPr>
          <t xml:space="preserve">Brännlyckamarmor saknar offertpris. Stenfirman bedömer 550 000–600 000 kr (60–80 % dyrare än Verde Italia).</t>
        </r>
      </text>
    </comment>
    <comment ref="O68" authorId="0">
      <text>
        <r>
          <rPr>
            <sz val="10"/>
            <rFont val="Arial"/>
            <family val="2"/>
          </rPr>
          <t xml:space="preserve">Klinker kräver ytterligare tvättställ och bänkskivor i båda badrummen. De är inte prissatta.</t>
        </r>
      </text>
    </comment>
  </commentList>
</comments>
</file>

<file path=xl/sharedStrings.xml><?xml version="1.0" encoding="utf-8"?>
<sst xmlns="http://schemas.openxmlformats.org/spreadsheetml/2006/main" count="688" uniqueCount="283">
  <si>
    <t xml:space="preserve">Karlavägen 71 – budget per post och materialnivå (kr inkl. moms)</t>
  </si>
  <si>
    <t xml:space="preserve">Justerad budget = det största av nedlagt och kalkyl, dvs. nedlagt + återstående (kalkyl − nedlagt, aldrig under 0). Samma regel som i appens flik Ny budget.</t>
  </si>
  <si>
    <t xml:space="preserve">Nivåerna summerar fliken Detaljer, kolumn T–W. En tom nivå på en rad ärver beloppet från nivån ovanför (Premium ← Lyx, Medium ← Premium, Basic ← Medium). Ett belopp du skriver in i Detaljer används direkt här.</t>
  </si>
  <si>
    <t xml:space="preserve">Antaget ROT-avdrag i justerad budget (ändra här)</t>
  </si>
  <si>
    <t xml:space="preserve">Post-id</t>
  </si>
  <si>
    <t xml:space="preserve">Post</t>
  </si>
  <si>
    <t xml:space="preserve">Ursprunglig offert D2053-1</t>
  </si>
  <si>
    <t xml:space="preserve">Ny offert D2058 / ÄTA (dokument)</t>
  </si>
  <si>
    <t xml:space="preserve">Nedlagt (fakturerat)</t>
  </si>
  <si>
    <t xml:space="preserve">Kalkyl Lyx</t>
  </si>
  <si>
    <t xml:space="preserve">Kalkyl Premium</t>
  </si>
  <si>
    <t xml:space="preserve">Kalkyl Medium</t>
  </si>
  <si>
    <t xml:space="preserve">Kalkyl Basic</t>
  </si>
  <si>
    <t xml:space="preserve">Justerad Lyx</t>
  </si>
  <si>
    <t xml:space="preserve">Justerad Premium</t>
  </si>
  <si>
    <t xml:space="preserve">Justerad Medium</t>
  </si>
  <si>
    <t xml:space="preserve">Justerad Basic</t>
  </si>
  <si>
    <t xml:space="preserve">Justerad – ditt val</t>
  </si>
  <si>
    <t xml:space="preserve">Ny budget i appen 16 okt</t>
  </si>
  <si>
    <t xml:space="preserve">Kontroll</t>
  </si>
  <si>
    <t xml:space="preserve">riv</t>
  </si>
  <si>
    <t xml:space="preserve">Rivningsarbeten</t>
  </si>
  <si>
    <t xml:space="preserve">bygg</t>
  </si>
  <si>
    <t xml:space="preserve">Byggnadsarbeten</t>
  </si>
  <si>
    <t xml:space="preserve">mal</t>
  </si>
  <si>
    <t xml:space="preserve">Målningsarbeten</t>
  </si>
  <si>
    <t xml:space="preserve">platt</t>
  </si>
  <si>
    <t xml:space="preserve">Plattarbeten</t>
  </si>
  <si>
    <t xml:space="preserve">ror</t>
  </si>
  <si>
    <t xml:space="preserve">Rörarbeten</t>
  </si>
  <si>
    <t xml:space="preserve">el</t>
  </si>
  <si>
    <t xml:space="preserve">Elarbeten</t>
  </si>
  <si>
    <t xml:space="preserve">parkett</t>
  </si>
  <si>
    <t xml:space="preserve">Parkettarbeten</t>
  </si>
  <si>
    <t xml:space="preserve">puts</t>
  </si>
  <si>
    <t xml:space="preserve">Putsarbeten</t>
  </si>
  <si>
    <t xml:space="preserve">vent</t>
  </si>
  <si>
    <t xml:space="preserve">Ventilationsarbeten</t>
  </si>
  <si>
    <t xml:space="preserve">allm</t>
  </si>
  <si>
    <t xml:space="preserve">Allmänna kostnader</t>
  </si>
  <si>
    <t xml:space="preserve">sop</t>
  </si>
  <si>
    <t xml:space="preserve">Sophantering</t>
  </si>
  <si>
    <t xml:space="preserve">schab-bad</t>
  </si>
  <si>
    <t xml:space="preserve">Schablon badrum, bastu &amp; sten</t>
  </si>
  <si>
    <t xml:space="preserve">schab-kok</t>
  </si>
  <si>
    <t xml:space="preserve">Schablon kök, vitvaror &amp; stenskivor</t>
  </si>
  <si>
    <t xml:space="preserve">ata1</t>
  </si>
  <si>
    <t xml:space="preserve">ÄTA 1 – Diverse tillkommande arbeten</t>
  </si>
  <si>
    <t xml:space="preserve">ata2</t>
  </si>
  <si>
    <t xml:space="preserve">ÄTA 2 – VVS-produkter</t>
  </si>
  <si>
    <t xml:space="preserve">ata3</t>
  </si>
  <si>
    <t xml:space="preserve">ÄTA 3 – Belysning, el och tak</t>
  </si>
  <si>
    <t xml:space="preserve">ata4</t>
  </si>
  <si>
    <t xml:space="preserve">ÄTA 4 – Snickerier &amp; inredning</t>
  </si>
  <si>
    <t xml:space="preserve">ata5</t>
  </si>
  <si>
    <t xml:space="preserve">ÄTA 5 – Vitvaror</t>
  </si>
  <si>
    <t xml:space="preserve">ata6</t>
  </si>
  <si>
    <t xml:space="preserve">ÄTA 6 – Sten &amp; glas</t>
  </si>
  <si>
    <t xml:space="preserve">ark</t>
  </si>
  <si>
    <t xml:space="preserve">Arkitekt (utanför offerten)</t>
  </si>
  <si>
    <t xml:space="preserve">Totalt före ROT</t>
  </si>
  <si>
    <t xml:space="preserve">ROT-avdrag (nedlagt = beviljat, justerat = antagande i C4)</t>
  </si>
  <si>
    <t xml:space="preserve">Totalt efter ROT</t>
  </si>
  <si>
    <t xml:space="preserve">Skillnad mot Lyx (efter ROT)</t>
  </si>
  <si>
    <t xml:space="preserve">Skillnad mot ny offert/ÄTA enligt dokumenten</t>
  </si>
  <si>
    <t xml:space="preserve">Läsanvisning</t>
  </si>
  <si>
    <t xml:space="preserve">• Blå siffror kommer från dokumenten och går att ändra. Den gula cellen är ett antagande att pröva.</t>
  </si>
  <si>
    <t xml:space="preserve">• Kalkyl per nivå hämtas från fliken Detaljer, kolumn T–W. Nivåerna påverkar bara ÄTA 2 och ÄTA 6, som är de enda med materialval.</t>
  </si>
  <si>
    <t xml:space="preserve">• Kolumnen "Justerad – ditt val" följer nivån i kolumn S i Detaljer: alt 1 (Lyx) i ÄTA 2 och klinker (Medium) i ÄTA 6, som i appen. Kontroll jämför med appen och visar Avviker när du ändrar något.</t>
  </si>
  <si>
    <t xml:space="preserve">• Ändra belopp i Detaljer, kolumn L, N, P eller R. En tom nivå ärver från nivån ovanför.</t>
  </si>
  <si>
    <t xml:space="preserve">• Nedlagt = fakturerat inkl. moms till och med faktura 132396 och 9260, fördelat per post på samma sätt som i appen.</t>
  </si>
  <si>
    <t xml:space="preserve">Materialval per nivå (kr inkl. moms)</t>
  </si>
  <si>
    <t xml:space="preserve">Länkat från fliken Detaljer. Tom cell betyder att dokumentet inte har något alternativ på den nivån.</t>
  </si>
  <si>
    <t xml:space="preserve">Materialval</t>
  </si>
  <si>
    <t xml:space="preserve">Antal alternativ</t>
  </si>
  <si>
    <t xml:space="preserve">Lyx – produkt</t>
  </si>
  <si>
    <t xml:space="preserve">Lyx (kr)</t>
  </si>
  <si>
    <t xml:space="preserve">Premium – produkt</t>
  </si>
  <si>
    <t xml:space="preserve">Premium (kr)</t>
  </si>
  <si>
    <t xml:space="preserve">Medium – produkt</t>
  </si>
  <si>
    <t xml:space="preserve">Medium (kr)</t>
  </si>
  <si>
    <t xml:space="preserve">Basic – produkt</t>
  </si>
  <si>
    <t xml:space="preserve">Basic (kr)</t>
  </si>
  <si>
    <t xml:space="preserve">Skillnad dyraste – billigaste</t>
  </si>
  <si>
    <t xml:space="preserve">Ditt val</t>
  </si>
  <si>
    <t xml:space="preserve">Badrum: tvättställsblandare</t>
  </si>
  <si>
    <t xml:space="preserve">Badrum: duschblandare</t>
  </si>
  <si>
    <t xml:space="preserve">Badrum: spolplatta</t>
  </si>
  <si>
    <t xml:space="preserve">Wc: tvättställsblandare</t>
  </si>
  <si>
    <t xml:space="preserve">Wc: spolplatta</t>
  </si>
  <si>
    <t xml:space="preserve">Kök: blandare</t>
  </si>
  <si>
    <t xml:space="preserve">Sten och klinker i badrum och hall</t>
  </si>
  <si>
    <t xml:space="preserve">Totalt</t>
  </si>
  <si>
    <t xml:space="preserve">Karlavägen 71 – alla budgetposter i detalj (kr inkl. moms)</t>
  </si>
  <si>
    <t xml:space="preserve">Källa: offert D2058 rev 1 (2026-05-08) och ÄTA 2–6 (2026-10-16), Thessén &amp; Ek. Skriv belopp i kolumnerna Lyx, Premium, Medium eller Basic (kr) på valfri rad. En tom nivå ärver från nivån ovanför (Premium ← Lyx, Medium ← Premium, Basic ← Medium). Blå = värden från dokumenten. Svart = formler. Välj nivå per rad i kolumn S.</t>
  </si>
  <si>
    <t xml:space="preserve">Materialval: dyraste alternativet ligger i Lyx, därefter Premium, Medium och Basic. På övriga rader är Lyx = beloppet enligt dokumentet.</t>
  </si>
  <si>
    <t xml:space="preserve">Rad / materialval</t>
  </si>
  <si>
    <t xml:space="preserve">Beskrivning</t>
  </si>
  <si>
    <t xml:space="preserve">Typ</t>
  </si>
  <si>
    <t xml:space="preserve">Rum</t>
  </si>
  <si>
    <t xml:space="preserve">Antal</t>
  </si>
  <si>
    <t xml:space="preserve">Enhet</t>
  </si>
  <si>
    <t xml:space="preserve">À-pris (kr)</t>
  </si>
  <si>
    <t xml:space="preserve">Belopp enligt dokument (kr)</t>
  </si>
  <si>
    <t xml:space="preserve">Ditt val (nivå)</t>
  </si>
  <si>
    <t xml:space="preserve">Scenario Lyx (kr)</t>
  </si>
  <si>
    <t xml:space="preserve">Scenario Premium (kr)</t>
  </si>
  <si>
    <t xml:space="preserve">Scenario Medium (kr)</t>
  </si>
  <si>
    <t xml:space="preserve">Scenario Basic (kr)</t>
  </si>
  <si>
    <t xml:space="preserve">Ditt val (kr)</t>
  </si>
  <si>
    <t xml:space="preserve">Spårning för ny el</t>
  </si>
  <si>
    <t xml:space="preserve">arbete</t>
  </si>
  <si>
    <t xml:space="preserve">Hela lägenheten</t>
  </si>
  <si>
    <t xml:space="preserve">h</t>
  </si>
  <si>
    <t xml:space="preserve">Enligt dokument</t>
  </si>
  <si>
    <t xml:space="preserve">Lyx</t>
  </si>
  <si>
    <t xml:space="preserve">Rivning kök, wc, innerväggar runt wc/pentry och förråd, matta och parkett. Upptag för 2 nya dörrhål.</t>
  </si>
  <si>
    <t xml:space="preserve">Resten av posten, inte uppdelat i offerten</t>
  </si>
  <si>
    <t xml:space="preserve">blandat</t>
  </si>
  <si>
    <t xml:space="preserve">Byggnadsarbeten enligt offert</t>
  </si>
  <si>
    <t xml:space="preserve">Täckning av golv. Nya väggar runt badrum och hall, igensättning av 2 dörrhål. Nya socklar. Montering av 6 befintliga innerdörrar med omfattningar och foder. Panel och lavar i bastu. Komplettering badrum. Montering av kök och glaspartier.</t>
  </si>
  <si>
    <t xml:space="preserve">Lägga i spårningar efter el</t>
  </si>
  <si>
    <t xml:space="preserve">Spackling och målning 2–3 ggr av tak, väggar, fönster (insida) och snickerier. Jotun ingår.</t>
  </si>
  <si>
    <t xml:space="preserve">Plattarbeten enligt offert</t>
  </si>
  <si>
    <t xml:space="preserve">Hall: tunnspackling, natursten. Badrum: flytspackling, tätskikt, sättning och fogning, kuvertskärning, inbyggnad av wc-fixtur. Bastu: flytspackling, tätskikt, sättning, sockel, kuvertskärning.</t>
  </si>
  <si>
    <t xml:space="preserve">Våtrum + hall</t>
  </si>
  <si>
    <t xml:space="preserve">Rörarbeten enligt offert</t>
  </si>
  <si>
    <t xml:space="preserve">Demontering badrum och kök. Flytt av avlopp. 2 standardbrunnar. Tappvatten kök och badrum. Komplettering.</t>
  </si>
  <si>
    <t xml:space="preserve">Kök + våtrum</t>
  </si>
  <si>
    <t xml:space="preserve">Elarbeten enligt offert</t>
  </si>
  <si>
    <t xml:space="preserve">Demontering. Omdragning för kök, badrum och flyttade väggar och dörrhål. Badrum: golvvärme, bastuaggregat, uttag i kommod, 4 LED-spotlights. Plejd-dimrar. Serie Renova. Inkoppling och avprovning.</t>
  </si>
  <si>
    <t xml:space="preserve">Fiskbensparkett i vardagsrum</t>
  </si>
  <si>
    <t xml:space="preserve">Läggning, slipning och hårdvaxolja. Slipning och behandling av 6 trösklar. D2053-1 hade samtliga rum för 200 000 kr.</t>
  </si>
  <si>
    <t xml:space="preserve">Vardagsrum &amp; matsal</t>
  </si>
  <si>
    <t xml:space="preserve">Putslagningar efter rivning</t>
  </si>
  <si>
    <t xml:space="preserve">Schablon</t>
  </si>
  <si>
    <t xml:space="preserve">Ventilation kök och badrum</t>
  </si>
  <si>
    <t xml:space="preserve">Allmänna kostnader enligt offert</t>
  </si>
  <si>
    <t xml:space="preserve">Transporter, 1 kranlyft, arbetsledning, materialhantering, förbrukningsmaterial, etablering och avetablering.</t>
  </si>
  <si>
    <t xml:space="preserve">Sophantering via Big Bag</t>
  </si>
  <si>
    <t xml:space="preserve">Sorterat</t>
  </si>
  <si>
    <t xml:space="preserve">övrigt</t>
  </si>
  <si>
    <t xml:space="preserve">Badrum: fixtur Geberit med inbyggd påse</t>
  </si>
  <si>
    <t xml:space="preserve">material</t>
  </si>
  <si>
    <t xml:space="preserve">Badrum &amp; bastu</t>
  </si>
  <si>
    <t xml:space="preserve">Badrum: wc Laufen Kartell, vägghängd</t>
  </si>
  <si>
    <t xml:space="preserve">Badrum: tvättställ Laufen Val med tvål-ö</t>
  </si>
  <si>
    <t xml:space="preserve">Badrum: tvättställsblandare (välj ett)</t>
  </si>
  <si>
    <t xml:space="preserve">Alt 1: Badrum: tvättställsblandare Dornbracht Meta; Alt 2: Badrum: tvättställsblandare Scandtap Equip Classic</t>
  </si>
  <si>
    <t xml:space="preserve">tvättställsblandare Dornbracht Meta (Alt 1)</t>
  </si>
  <si>
    <t xml:space="preserve">tvättställsblandare Scandtap Equip Classic (Alt 2)</t>
  </si>
  <si>
    <t xml:space="preserve">Badrum: duschblandare (välj ett)</t>
  </si>
  <si>
    <t xml:space="preserve">Alt 1: Badrum: duschblandare Dornbracht Tara Showerpipe + handdusch; Alt 2: Badrum: duschblandare Scandtap Steel Pleasure 2 Classic</t>
  </si>
  <si>
    <t xml:space="preserve">duschblandare Dornbracht Tara Showerpipe + handdusch (Alt 1)</t>
  </si>
  <si>
    <t xml:space="preserve">duschblandare Scandtap Steel Pleasure 2 Classic (Alt 2)</t>
  </si>
  <si>
    <t xml:space="preserve">Badrum: spolplatta (välj ett)</t>
  </si>
  <si>
    <t xml:space="preserve">Alt 1: Badrum: spolplatta Dornbracht Angular; Alt 2: Badrum: spolplatta Scandtap Style Classic</t>
  </si>
  <si>
    <t xml:space="preserve">spolplatta Dornbracht Angular (Alt 1)</t>
  </si>
  <si>
    <t xml:space="preserve">spolplatta Scandtap Style Classic (Alt 2)</t>
  </si>
  <si>
    <t xml:space="preserve">Badrum: extra arbete Uni-drain</t>
  </si>
  <si>
    <t xml:space="preserve">Wc: fixtur Geberit med inbyggd påse</t>
  </si>
  <si>
    <t xml:space="preserve">WC</t>
  </si>
  <si>
    <t xml:space="preserve">Wc: wc Laufen Kartell, vägghängd</t>
  </si>
  <si>
    <t xml:space="preserve">Wc: tvättställsblandare (välj ett)</t>
  </si>
  <si>
    <t xml:space="preserve">Alt 1: Wc: tvättställsblandare Dornbracht Meta; Alt 2: Wc: tvättställsblandare Scandtap Equip Classic</t>
  </si>
  <si>
    <t xml:space="preserve">Wc: spolplatta (välj ett)</t>
  </si>
  <si>
    <t xml:space="preserve">Alt 1: Wc: spolplatta Dornbracht Angular; Alt 2: Wc: spolplatta Scandtap Style Classic</t>
  </si>
  <si>
    <t xml:space="preserve">Kök: blandare (välj ett)</t>
  </si>
  <si>
    <t xml:space="preserve">Alt 1: Kök: blandare Dornbracht Tara Ultra Pivot; Alt 2: Kök: blandare Dornbracht Tara pull-down med dusch; Alt 3: Kök: blandare Scandtap Equip D Classic</t>
  </si>
  <si>
    <t xml:space="preserve">Kök</t>
  </si>
  <si>
    <t xml:space="preserve">blandare Dornbracht Tara Ultra Pivot (Alt 1)</t>
  </si>
  <si>
    <t xml:space="preserve">blandare Dornbracht Tara pull-down med dusch (Alt 2)</t>
  </si>
  <si>
    <t xml:space="preserve">blandare Scandtap Equip D Classic (Alt 3)</t>
  </si>
  <si>
    <t xml:space="preserve">Elektriker: tillkommande arbete och material</t>
  </si>
  <si>
    <t xml:space="preserve">Slang, fästmaterial, inkopplingsmaterial, brytare och uttag. Ingen specifikation. Armaturer ingår inte.</t>
  </si>
  <si>
    <t xml:space="preserve">Gips, tak</t>
  </si>
  <si>
    <t xml:space="preserve">st</t>
  </si>
  <si>
    <t xml:space="preserve">Skruv</t>
  </si>
  <si>
    <t xml:space="preserve">Glespanel och kranbil</t>
  </si>
  <si>
    <t xml:space="preserve">Snickare: glesning och gipsning av tak</t>
  </si>
  <si>
    <t xml:space="preserve">Mattläggning</t>
  </si>
  <si>
    <t xml:space="preserve">Object Carpet Moody 2000, kulör 2003 Greige, cirka 33 m². Två våder, montering med 6 mm filt och spiklist.</t>
  </si>
  <si>
    <t xml:space="preserve">Sovrum &amp; garderober</t>
  </si>
  <si>
    <t xml:space="preserve">Fris i trä runt sten i korridor</t>
  </si>
  <si>
    <t xml:space="preserve">Fiskbensparkett i stället för sten kostar 2 240 kr/m² inkl. moms</t>
  </si>
  <si>
    <t xml:space="preserve">Hall &amp; korridor</t>
  </si>
  <si>
    <t xml:space="preserve">Montering snickerier och inredning</t>
  </si>
  <si>
    <t xml:space="preserve">Avtalat pris är 650 kr/h inkl. moms. 812,50 = 650 × 1,25.</t>
  </si>
  <si>
    <t xml:space="preserve">Kök + förvaring</t>
  </si>
  <si>
    <t xml:space="preserve">Montering special socklar och foder</t>
  </si>
  <si>
    <t xml:space="preserve">Special socklar och foder, material</t>
  </si>
  <si>
    <t xml:space="preserve">lm</t>
  </si>
  <si>
    <t xml:space="preserve">Arbete kring infällda gardinskenor i tak</t>
  </si>
  <si>
    <t xml:space="preserve">Gardinskenor tak</t>
  </si>
  <si>
    <t xml:space="preserve">Inte prissatt</t>
  </si>
  <si>
    <t xml:space="preserve">Kök, skåp och garderober enligt projektplan</t>
  </si>
  <si>
    <t xml:space="preserve">Kök: synligt rostfritt, stommar i melamin. Garderober, kommoder och sängstomme i körsbärsfanérad MDF. Ingen specifikation.</t>
  </si>
  <si>
    <t xml:space="preserve">Swedoor Stable dörr och karm 9×21, exkl. trycken</t>
  </si>
  <si>
    <t xml:space="preserve">Tvätt-/torkmaskin Miele WTI370 WPM</t>
  </si>
  <si>
    <t xml:space="preserve">Diskmaskin Miele G 7288 SCVi XXL, integrerad</t>
  </si>
  <si>
    <t xml:space="preserve">Spis Bertazzoni PRO95I2EXT2, 90 cm induktion, dubbelugn</t>
  </si>
  <si>
    <t xml:space="preserve">Köksfläkt Fjäråskupan Aura</t>
  </si>
  <si>
    <t xml:space="preserve">Kyl/frys Bertazzoni REF604BBNPTC-S</t>
  </si>
  <si>
    <t xml:space="preserve">Vinkyl Vigneron XP, integrerad</t>
  </si>
  <si>
    <t xml:space="preserve">Tillkommande flytspackel, EPS och sättning av sten</t>
  </si>
  <si>
    <t xml:space="preserve">Kontrollera överlapp med Plattarbeten</t>
  </si>
  <si>
    <t xml:space="preserve">Kakel Höganäs Arkitekt 2.0, 96×96 blank, cirka 20 m²</t>
  </si>
  <si>
    <t xml:space="preserve">Sten och klinker i badrum och hall (välj ett)</t>
  </si>
  <si>
    <t xml:space="preserve">Alt 1: Sten: Brännlyckamarmor – Inget pris. Stenfirman bedömer 60–80 % dyrare än Verde Italia, 550 000–600 000 kr; Alt 2: Sten: Verde Italia finslipad, inkl. stendetaljer och 1 tvättställ; Alt 3: Klinker: Bricmate M Kolmården 60×60, cirka 40 m² – Utan stendetaljer. Kräver ytterligare tvättställ och bänkskivor i båda badrummen</t>
  </si>
  <si>
    <t xml:space="preserve">Brännlyckamarmor (Alt 1)</t>
  </si>
  <si>
    <t xml:space="preserve">Verde Italia finslipad, inkl. stendetaljer och 1 tvättställ (Alt 2)</t>
  </si>
  <si>
    <t xml:space="preserve">Bricmate M Kolmården 60×60, cirka 40 m² (Alt 3)</t>
  </si>
  <si>
    <t xml:space="preserve">Medium</t>
  </si>
  <si>
    <t xml:space="preserve">Glass bricks, solid, orange peel, 200×100×50</t>
  </si>
  <si>
    <t xml:space="preserve">Kräver konstruktionsarbete under, som inte ingår</t>
  </si>
  <si>
    <t xml:space="preserve">Smidesdörr med texturglas, dusch</t>
  </si>
  <si>
    <t xml:space="preserve">Smidesomfattningar kök, serveringshål och gånghål, rostfritt</t>
  </si>
  <si>
    <t xml:space="preserve">Montering glasblock och impregnering av alla stenar</t>
  </si>
  <si>
    <t xml:space="preserve">Material för montering av glasblock, lim och impregnering</t>
  </si>
  <si>
    <t xml:space="preserve">Transporter och uppbärning</t>
  </si>
  <si>
    <t xml:space="preserve">Tillkommer, inte prissatt</t>
  </si>
  <si>
    <t xml:space="preserve">Konstruktionsarbete för glasblock</t>
  </si>
  <si>
    <t xml:space="preserve">Krävs enligt tillverkaren, inte prissatt</t>
  </si>
  <si>
    <t xml:space="preserve">Fakturerat hittills (kr)</t>
  </si>
  <si>
    <t xml:space="preserve">Källa: inlästa fakturor från Thessén &amp; Ek och arkitekten. 132354 med beslutat ROT-avdrag 27 666 kr.</t>
  </si>
  <si>
    <t xml:space="preserve">Datum</t>
  </si>
  <si>
    <t xml:space="preserve">Leverantör</t>
  </si>
  <si>
    <t xml:space="preserve">Fakturanr</t>
  </si>
  <si>
    <t xml:space="preserve">Exkl. moms</t>
  </si>
  <si>
    <t xml:space="preserve">Moms</t>
  </si>
  <si>
    <t xml:space="preserve">Öresavrundning</t>
  </si>
  <si>
    <t xml:space="preserve">Inkl. moms</t>
  </si>
  <si>
    <t xml:space="preserve">ROT-avdrag</t>
  </si>
  <si>
    <t xml:space="preserve">Att betala</t>
  </si>
  <si>
    <t xml:space="preserve">Förfaller</t>
  </si>
  <si>
    <t xml:space="preserve">2026-08-15</t>
  </si>
  <si>
    <t xml:space="preserve">Arkitekt V. Erlandsson</t>
  </si>
  <si>
    <t xml:space="preserve">9248</t>
  </si>
  <si>
    <t xml:space="preserve">Grund</t>
  </si>
  <si>
    <t xml:space="preserve">2026-08-30</t>
  </si>
  <si>
    <t xml:space="preserve">2026-08-31</t>
  </si>
  <si>
    <t xml:space="preserve">Thessén &amp; Ek</t>
  </si>
  <si>
    <t xml:space="preserve">132354</t>
  </si>
  <si>
    <t xml:space="preserve">2026-09-10</t>
  </si>
  <si>
    <t xml:space="preserve">132355</t>
  </si>
  <si>
    <t xml:space="preserve">ÄTA</t>
  </si>
  <si>
    <t xml:space="preserve">132370</t>
  </si>
  <si>
    <t xml:space="preserve">2026-09-30</t>
  </si>
  <si>
    <t xml:space="preserve">2026-09-07</t>
  </si>
  <si>
    <t xml:space="preserve">9256</t>
  </si>
  <si>
    <t xml:space="preserve">2026-09-22</t>
  </si>
  <si>
    <t xml:space="preserve">9257</t>
  </si>
  <si>
    <t xml:space="preserve">2026-09-25</t>
  </si>
  <si>
    <t xml:space="preserve">132387</t>
  </si>
  <si>
    <t xml:space="preserve">2026-10-05</t>
  </si>
  <si>
    <t xml:space="preserve">132388</t>
  </si>
  <si>
    <t xml:space="preserve">2026-10-07</t>
  </si>
  <si>
    <t xml:space="preserve">9260</t>
  </si>
  <si>
    <t xml:space="preserve">2026-10-22</t>
  </si>
  <si>
    <t xml:space="preserve">2026-10-15</t>
  </si>
  <si>
    <t xml:space="preserve">132395</t>
  </si>
  <si>
    <t xml:space="preserve">2026-10-25</t>
  </si>
  <si>
    <t xml:space="preserve">132396</t>
  </si>
  <si>
    <t xml:space="preserve">Antaganden och källor</t>
  </si>
  <si>
    <t xml:space="preserve">Belopp</t>
  </si>
  <si>
    <t xml:space="preserve">Kronor inkl. 25 % moms, som i offerten och ÄTA:orna.</t>
  </si>
  <si>
    <t xml:space="preserve">Nivåer</t>
  </si>
  <si>
    <t xml:space="preserve">Inom varje materialval sorteras alternativen efter pris: dyraste = Lyx, näst dyraste = Premium, sedan Medium och Basic.</t>
  </si>
  <si>
    <t xml:space="preserve">Saknad nivå</t>
  </si>
  <si>
    <t xml:space="preserve">En tom nivå på en rad ärver beloppet från nivån ovanför: Premium ← Lyx, Medium ← Premium, Basic ← Medium. Är alla tomma blir det Lyx. Inget materialval har fyra alternativ, så Basic ärver Medium eller Premium.</t>
  </si>
  <si>
    <t xml:space="preserve">Egna belopp</t>
  </si>
  <si>
    <t xml:space="preserve">Skriv ett belopp i Lyx, Premium, Medium eller Basic (kr) på valfri rad i Detaljer. Det används direkt i scenarierna och i Sammanfattning. 0 räknas som ett belopp. Töm cellen för att ärva igen.</t>
  </si>
  <si>
    <t xml:space="preserve">Brännlyckamarmor</t>
  </si>
  <si>
    <t xml:space="preserve">Lyx i ÄTA 6 är stenfirmans bedömning, 550 000–600 000 kr, inte ett offertpris. 600 000 kr används.</t>
  </si>
  <si>
    <t xml:space="preserve">Klinker</t>
  </si>
  <si>
    <t xml:space="preserve">Klinker (Medium i ÄTA 6) kräver ytterligare tvättställ och bänkskivor i båda badrummen. De är inte prissatta och ingår inte.</t>
  </si>
  <si>
    <t xml:space="preserve">Montering 812,50 kr/h</t>
  </si>
  <si>
    <t xml:space="preserve">ÄTA 4 och 6 debiterar 812,50 kr/h mot avtalade 650 kr/h inkl. moms. Ändra À-pris i Detaljer för att räkna med avtalat pris.</t>
  </si>
  <si>
    <t xml:space="preserve">Ej prissatt</t>
  </si>
  <si>
    <t xml:space="preserve">Armaturer (ÄTA 3), gardinskenor, samt material, transport och konstruktion för glasblock (ÄTA 6) ligger på 0 kr.</t>
  </si>
  <si>
    <t xml:space="preserve">Arbete, material, blandat (arbete och material i samma belopp) eller övrigt. Bedömt utifrån dokumentens text.</t>
  </si>
  <si>
    <t xml:space="preserve">Bara där dokumentet anger rum. Rader för flera rum har kombinerade rumsnamn.</t>
  </si>
  <si>
    <t xml:space="preserve">Valen sparade i appen 16 okt: alt 1 i ÄTA 2 och klinker i ÄTA 6. Ett eget alternativ på 0 kr i ÄTA 2 (spolplatta badrum) är inte valt och ingår inte.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</si>
</sst>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-#,##0;\-"/>
    <numFmt numFmtId="166" formatCode="#,##0.00;\-#,##0.00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C2528"/>
        <bgColor rgb="FF003300"/>
      </patternFill>
    </fill>
    <fill>
      <patternFill patternType="solid">
        <fgColor rgb="FF5A4A2E"/>
        <bgColor rgb="FF555555"/>
      </patternFill>
    </fill>
    <fill>
      <patternFill patternType="solid">
        <fgColor rgb="FF2E4F52"/>
        <bgColor rgb="FF4A5658"/>
      </patternFill>
    </fill>
    <fill>
      <patternFill patternType="solid">
        <fgColor rgb="FF4A5658"/>
        <bgColor rgb="FF555555"/>
      </patternFill>
    </fill>
    <fill>
      <patternFill patternType="solid">
        <fgColor rgb="FF6B7472"/>
        <bgColor rgb="FF555555"/>
      </patternFill>
    </fill>
    <fill>
      <patternFill patternType="solid">
        <fgColor rgb="FFD9DDD5"/>
        <bgColor rgb="FFE8EAE5"/>
      </patternFill>
    </fill>
    <fill>
      <patternFill patternType="solid">
        <fgColor rgb="FFF3E6D2"/>
        <bgColor rgb="FFE8EAE5"/>
      </patternFill>
    </fill>
    <fill>
      <patternFill patternType="solid">
        <fgColor rgb="FFE3EEEE"/>
        <bgColor rgb="FFE8EAE5"/>
      </patternFill>
    </fill>
    <fill>
      <patternFill patternType="solid">
        <fgColor rgb="FFEEF1EC"/>
        <bgColor rgb="FFE3EEEE"/>
      </patternFill>
    </fill>
    <fill>
      <patternFill patternType="solid">
        <fgColor rgb="FFF7F7F5"/>
        <bgColor rgb="FFEEF1EC"/>
      </patternFill>
    </fill>
    <fill>
      <patternFill patternType="solid">
        <fgColor rgb="FFE8EAE5"/>
        <bgColor rgb="FFE3EEEE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8CC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C2528"/>
          <bgColor rgb="FF000000"/>
        </patternFill>
      </fill>
    </dxf>
    <dxf>
      <fill>
        <patternFill patternType="solid">
          <fgColor rgb="FFE8EAE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3E6D2"/>
          <bgColor rgb="FF000000"/>
        </patternFill>
      </fill>
    </dxf>
    <dxf>
      <fill>
        <patternFill patternType="solid">
          <fgColor rgb="FFE3EEEE"/>
          <bgColor rgb="FF000000"/>
        </patternFill>
      </fill>
    </dxf>
    <dxf>
      <fill>
        <patternFill patternType="solid">
          <fgColor rgb="FFEEF1EC"/>
          <bgColor rgb="FF000000"/>
        </patternFill>
      </fill>
    </dxf>
    <dxf>
      <fill>
        <patternFill patternType="solid">
          <fgColor rgb="FFF7F7F5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CC4"/>
      <rgbColor rgb="FF6B7472"/>
      <rgbColor rgb="FF9999FF"/>
      <rgbColor rgb="FF993366"/>
      <rgbColor rgb="FFF7F7F5"/>
      <rgbColor rgb="FFE3EEEE"/>
      <rgbColor rgb="FF660066"/>
      <rgbColor rgb="FFFF8080"/>
      <rgbColor rgb="FF0066CC"/>
      <rgbColor rgb="FFD9DD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EC"/>
      <rgbColor rgb="FFE8EAE5"/>
      <rgbColor rgb="FFF3E6D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4A5658"/>
      <rgbColor rgb="FF339966"/>
      <rgbColor rgb="FF003300"/>
      <rgbColor rgb="FF5A4A2E"/>
      <rgbColor rgb="FF993300"/>
      <rgbColor rgb="FF993366"/>
      <rgbColor rgb="FF2E4F52"/>
      <rgbColor rgb="FF1C25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9" min="6" style="0" width="13"/>
    <col collapsed="false" customWidth="true" hidden="false" outlineLevel="0" max="15" min="10" style="0" width="14"/>
    <col collapsed="false" customWidth="true" hidden="false" outlineLevel="0" max="16" min="16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B4" s="3" t="s">
        <v>3</v>
      </c>
      <c r="C4" s="4" t="n">
        <v>-200000</v>
      </c>
    </row>
    <row r="6" customFormat="false" ht="42" hidden="false" customHeight="tru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6" t="s">
        <v>9</v>
      </c>
      <c r="G6" s="7" t="s">
        <v>10</v>
      </c>
      <c r="H6" s="8" t="s">
        <v>11</v>
      </c>
      <c r="I6" s="9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  <c r="O6" s="5" t="s">
        <v>18</v>
      </c>
      <c r="P6" s="5" t="s">
        <v>19</v>
      </c>
    </row>
    <row r="7" customFormat="false" ht="15" hidden="false" customHeight="false" outlineLevel="0" collapsed="false">
      <c r="A7" s="10" t="s">
        <v>20</v>
      </c>
      <c r="B7" s="10" t="s">
        <v>21</v>
      </c>
      <c r="C7" s="11" t="n">
        <v>198750</v>
      </c>
      <c r="D7" s="11" t="n">
        <v>198750</v>
      </c>
      <c r="E7" s="11" t="n">
        <v>197186</v>
      </c>
      <c r="F7" s="12" t="n">
        <f aca="false">SUMIFS(Detaljer!$T$5:$T$75,Detaljer!$A$5:$A$75,$A7)</f>
        <v>198750</v>
      </c>
      <c r="G7" s="12" t="n">
        <f aca="false">SUMIFS(Detaljer!$U$5:$U$75,Detaljer!$A$5:$A$75,$A7)</f>
        <v>198750</v>
      </c>
      <c r="H7" s="12" t="n">
        <f aca="false">SUMIFS(Detaljer!$V$5:$V$75,Detaljer!$A$5:$A$75,$A7)</f>
        <v>198750</v>
      </c>
      <c r="I7" s="12" t="n">
        <f aca="false">SUMIFS(Detaljer!$W$5:$W$75,Detaljer!$A$5:$A$75,$A7)</f>
        <v>198750</v>
      </c>
      <c r="J7" s="13" t="n">
        <f aca="false">MAX($E7,F7)</f>
        <v>198750</v>
      </c>
      <c r="K7" s="13" t="n">
        <f aca="false">MAX($E7,G7)</f>
        <v>198750</v>
      </c>
      <c r="L7" s="13" t="n">
        <f aca="false">MAX($E7,H7)</f>
        <v>198750</v>
      </c>
      <c r="M7" s="13" t="n">
        <f aca="false">MAX($E7,I7)</f>
        <v>198750</v>
      </c>
      <c r="N7" s="13" t="n">
        <f aca="false">MAX($E7,SUMIFS(Detaljer!$X$5:$X$75,Detaljer!$A$5:$A$75,$A7))</f>
        <v>198750</v>
      </c>
      <c r="O7" s="11" t="n">
        <v>198750</v>
      </c>
      <c r="P7" s="10" t="str">
        <f aca="false">IF(ABS(N7-O7)&lt;1,"OK","Avviker")</f>
        <v>OK</v>
      </c>
    </row>
    <row r="8" customFormat="false" ht="15" hidden="false" customHeight="false" outlineLevel="0" collapsed="false">
      <c r="A8" s="10" t="s">
        <v>22</v>
      </c>
      <c r="B8" s="10" t="s">
        <v>23</v>
      </c>
      <c r="C8" s="11" t="n">
        <v>387500</v>
      </c>
      <c r="D8" s="11" t="n">
        <v>387500</v>
      </c>
      <c r="E8" s="11" t="n">
        <v>6561.61</v>
      </c>
      <c r="F8" s="12" t="n">
        <f aca="false">SUMIFS(Detaljer!$T$5:$T$75,Detaljer!$A$5:$A$75,$A8)</f>
        <v>387500</v>
      </c>
      <c r="G8" s="12" t="n">
        <f aca="false">SUMIFS(Detaljer!$U$5:$U$75,Detaljer!$A$5:$A$75,$A8)</f>
        <v>387500</v>
      </c>
      <c r="H8" s="12" t="n">
        <f aca="false">SUMIFS(Detaljer!$V$5:$V$75,Detaljer!$A$5:$A$75,$A8)</f>
        <v>387500</v>
      </c>
      <c r="I8" s="12" t="n">
        <f aca="false">SUMIFS(Detaljer!$W$5:$W$75,Detaljer!$A$5:$A$75,$A8)</f>
        <v>387500</v>
      </c>
      <c r="J8" s="13" t="n">
        <f aca="false">MAX($E8,F8)</f>
        <v>387500</v>
      </c>
      <c r="K8" s="13" t="n">
        <f aca="false">MAX($E8,G8)</f>
        <v>387500</v>
      </c>
      <c r="L8" s="13" t="n">
        <f aca="false">MAX($E8,H8)</f>
        <v>387500</v>
      </c>
      <c r="M8" s="13" t="n">
        <f aca="false">MAX($E8,I8)</f>
        <v>387500</v>
      </c>
      <c r="N8" s="13" t="n">
        <f aca="false">MAX($E8,SUMIFS(Detaljer!$X$5:$X$75,Detaljer!$A$5:$A$75,$A8))</f>
        <v>387500</v>
      </c>
      <c r="O8" s="11" t="n">
        <v>387500</v>
      </c>
      <c r="P8" s="10" t="str">
        <f aca="false">IF(ABS(N8-O8)&lt;1,"OK","Avviker")</f>
        <v>OK</v>
      </c>
    </row>
    <row r="9" customFormat="false" ht="15" hidden="false" customHeight="false" outlineLevel="0" collapsed="false">
      <c r="A9" s="10" t="s">
        <v>24</v>
      </c>
      <c r="B9" s="10" t="s">
        <v>25</v>
      </c>
      <c r="C9" s="11" t="n">
        <v>365000</v>
      </c>
      <c r="D9" s="11" t="n">
        <v>365000</v>
      </c>
      <c r="E9" s="11" t="n">
        <v>0</v>
      </c>
      <c r="F9" s="12" t="n">
        <f aca="false">SUMIFS(Detaljer!$T$5:$T$75,Detaljer!$A$5:$A$75,$A9)</f>
        <v>365000</v>
      </c>
      <c r="G9" s="12" t="n">
        <f aca="false">SUMIFS(Detaljer!$U$5:$U$75,Detaljer!$A$5:$A$75,$A9)</f>
        <v>365000</v>
      </c>
      <c r="H9" s="12" t="n">
        <f aca="false">SUMIFS(Detaljer!$V$5:$V$75,Detaljer!$A$5:$A$75,$A9)</f>
        <v>365000</v>
      </c>
      <c r="I9" s="12" t="n">
        <f aca="false">SUMIFS(Detaljer!$W$5:$W$75,Detaljer!$A$5:$A$75,$A9)</f>
        <v>365000</v>
      </c>
      <c r="J9" s="13" t="n">
        <f aca="false">MAX($E9,F9)</f>
        <v>365000</v>
      </c>
      <c r="K9" s="13" t="n">
        <f aca="false">MAX($E9,G9)</f>
        <v>365000</v>
      </c>
      <c r="L9" s="13" t="n">
        <f aca="false">MAX($E9,H9)</f>
        <v>365000</v>
      </c>
      <c r="M9" s="13" t="n">
        <f aca="false">MAX($E9,I9)</f>
        <v>365000</v>
      </c>
      <c r="N9" s="13" t="n">
        <f aca="false">MAX($E9,SUMIFS(Detaljer!$X$5:$X$75,Detaljer!$A$5:$A$75,$A9))</f>
        <v>365000</v>
      </c>
      <c r="O9" s="11" t="n">
        <v>365000</v>
      </c>
      <c r="P9" s="10" t="str">
        <f aca="false">IF(ABS(N9-O9)&lt;1,"OK","Avviker")</f>
        <v>OK</v>
      </c>
    </row>
    <row r="10" customFormat="false" ht="15" hidden="false" customHeight="false" outlineLevel="0" collapsed="false">
      <c r="A10" s="10" t="s">
        <v>26</v>
      </c>
      <c r="B10" s="10" t="s">
        <v>27</v>
      </c>
      <c r="C10" s="11" t="n">
        <v>202500</v>
      </c>
      <c r="D10" s="11" t="n">
        <v>202500</v>
      </c>
      <c r="E10" s="11" t="n">
        <v>0</v>
      </c>
      <c r="F10" s="12" t="n">
        <f aca="false">SUMIFS(Detaljer!$T$5:$T$75,Detaljer!$A$5:$A$75,$A10)</f>
        <v>202500</v>
      </c>
      <c r="G10" s="12" t="n">
        <f aca="false">SUMIFS(Detaljer!$U$5:$U$75,Detaljer!$A$5:$A$75,$A10)</f>
        <v>202500</v>
      </c>
      <c r="H10" s="12" t="n">
        <f aca="false">SUMIFS(Detaljer!$V$5:$V$75,Detaljer!$A$5:$A$75,$A10)</f>
        <v>202500</v>
      </c>
      <c r="I10" s="12" t="n">
        <f aca="false">SUMIFS(Detaljer!$W$5:$W$75,Detaljer!$A$5:$A$75,$A10)</f>
        <v>202500</v>
      </c>
      <c r="J10" s="13" t="n">
        <f aca="false">MAX($E10,F10)</f>
        <v>202500</v>
      </c>
      <c r="K10" s="13" t="n">
        <f aca="false">MAX($E10,G10)</f>
        <v>202500</v>
      </c>
      <c r="L10" s="13" t="n">
        <f aca="false">MAX($E10,H10)</f>
        <v>202500</v>
      </c>
      <c r="M10" s="13" t="n">
        <f aca="false">MAX($E10,I10)</f>
        <v>202500</v>
      </c>
      <c r="N10" s="13" t="n">
        <f aca="false">MAX($E10,SUMIFS(Detaljer!$X$5:$X$75,Detaljer!$A$5:$A$75,$A10))</f>
        <v>202500</v>
      </c>
      <c r="O10" s="11" t="n">
        <v>202500</v>
      </c>
      <c r="P10" s="10" t="str">
        <f aca="false">IF(ABS(N10-O10)&lt;1,"OK","Avviker")</f>
        <v>OK</v>
      </c>
    </row>
    <row r="11" customFormat="false" ht="15" hidden="false" customHeight="false" outlineLevel="0" collapsed="false">
      <c r="A11" s="10" t="s">
        <v>28</v>
      </c>
      <c r="B11" s="10" t="s">
        <v>29</v>
      </c>
      <c r="C11" s="11" t="n">
        <v>140000</v>
      </c>
      <c r="D11" s="11" t="n">
        <v>140000</v>
      </c>
      <c r="E11" s="11" t="n">
        <v>0</v>
      </c>
      <c r="F11" s="12" t="n">
        <f aca="false">SUMIFS(Detaljer!$T$5:$T$75,Detaljer!$A$5:$A$75,$A11)</f>
        <v>140000</v>
      </c>
      <c r="G11" s="12" t="n">
        <f aca="false">SUMIFS(Detaljer!$U$5:$U$75,Detaljer!$A$5:$A$75,$A11)</f>
        <v>140000</v>
      </c>
      <c r="H11" s="12" t="n">
        <f aca="false">SUMIFS(Detaljer!$V$5:$V$75,Detaljer!$A$5:$A$75,$A11)</f>
        <v>140000</v>
      </c>
      <c r="I11" s="12" t="n">
        <f aca="false">SUMIFS(Detaljer!$W$5:$W$75,Detaljer!$A$5:$A$75,$A11)</f>
        <v>140000</v>
      </c>
      <c r="J11" s="13" t="n">
        <f aca="false">MAX($E11,F11)</f>
        <v>140000</v>
      </c>
      <c r="K11" s="13" t="n">
        <f aca="false">MAX($E11,G11)</f>
        <v>140000</v>
      </c>
      <c r="L11" s="13" t="n">
        <f aca="false">MAX($E11,H11)</f>
        <v>140000</v>
      </c>
      <c r="M11" s="13" t="n">
        <f aca="false">MAX($E11,I11)</f>
        <v>140000</v>
      </c>
      <c r="N11" s="13" t="n">
        <f aca="false">MAX($E11,SUMIFS(Detaljer!$X$5:$X$75,Detaljer!$A$5:$A$75,$A11))</f>
        <v>140000</v>
      </c>
      <c r="O11" s="11" t="n">
        <v>140000</v>
      </c>
      <c r="P11" s="10" t="str">
        <f aca="false">IF(ABS(N11-O11)&lt;1,"OK","Avviker")</f>
        <v>OK</v>
      </c>
    </row>
    <row r="12" customFormat="false" ht="15" hidden="false" customHeight="false" outlineLevel="0" collapsed="false">
      <c r="A12" s="10" t="s">
        <v>30</v>
      </c>
      <c r="B12" s="10" t="s">
        <v>31</v>
      </c>
      <c r="C12" s="11" t="n">
        <v>314250</v>
      </c>
      <c r="D12" s="11" t="n">
        <v>314250</v>
      </c>
      <c r="E12" s="11" t="n">
        <v>222629.68</v>
      </c>
      <c r="F12" s="12" t="n">
        <f aca="false">SUMIFS(Detaljer!$T$5:$T$75,Detaljer!$A$5:$A$75,$A12)</f>
        <v>314250</v>
      </c>
      <c r="G12" s="12" t="n">
        <f aca="false">SUMIFS(Detaljer!$U$5:$U$75,Detaljer!$A$5:$A$75,$A12)</f>
        <v>314250</v>
      </c>
      <c r="H12" s="12" t="n">
        <f aca="false">SUMIFS(Detaljer!$V$5:$V$75,Detaljer!$A$5:$A$75,$A12)</f>
        <v>314250</v>
      </c>
      <c r="I12" s="12" t="n">
        <f aca="false">SUMIFS(Detaljer!$W$5:$W$75,Detaljer!$A$5:$A$75,$A12)</f>
        <v>314250</v>
      </c>
      <c r="J12" s="13" t="n">
        <f aca="false">MAX($E12,F12)</f>
        <v>314250</v>
      </c>
      <c r="K12" s="13" t="n">
        <f aca="false">MAX($E12,G12)</f>
        <v>314250</v>
      </c>
      <c r="L12" s="13" t="n">
        <f aca="false">MAX($E12,H12)</f>
        <v>314250</v>
      </c>
      <c r="M12" s="13" t="n">
        <f aca="false">MAX($E12,I12)</f>
        <v>314250</v>
      </c>
      <c r="N12" s="13" t="n">
        <f aca="false">MAX($E12,SUMIFS(Detaljer!$X$5:$X$75,Detaljer!$A$5:$A$75,$A12))</f>
        <v>314250</v>
      </c>
      <c r="O12" s="11" t="n">
        <v>314250</v>
      </c>
      <c r="P12" s="10" t="str">
        <f aca="false">IF(ABS(N12-O12)&lt;1,"OK","Avviker")</f>
        <v>OK</v>
      </c>
    </row>
    <row r="13" customFormat="false" ht="15" hidden="false" customHeight="false" outlineLevel="0" collapsed="false">
      <c r="A13" s="10" t="s">
        <v>32</v>
      </c>
      <c r="B13" s="10" t="s">
        <v>33</v>
      </c>
      <c r="C13" s="11" t="n">
        <v>200000</v>
      </c>
      <c r="D13" s="11" t="n">
        <v>85875</v>
      </c>
      <c r="E13" s="11" t="n">
        <v>0</v>
      </c>
      <c r="F13" s="12" t="n">
        <f aca="false">SUMIFS(Detaljer!$T$5:$T$75,Detaljer!$A$5:$A$75,$A13)</f>
        <v>85875</v>
      </c>
      <c r="G13" s="12" t="n">
        <f aca="false">SUMIFS(Detaljer!$U$5:$U$75,Detaljer!$A$5:$A$75,$A13)</f>
        <v>85875</v>
      </c>
      <c r="H13" s="12" t="n">
        <f aca="false">SUMIFS(Detaljer!$V$5:$V$75,Detaljer!$A$5:$A$75,$A13)</f>
        <v>85875</v>
      </c>
      <c r="I13" s="12" t="n">
        <f aca="false">SUMIFS(Detaljer!$W$5:$W$75,Detaljer!$A$5:$A$75,$A13)</f>
        <v>85875</v>
      </c>
      <c r="J13" s="13" t="n">
        <f aca="false">MAX($E13,F13)</f>
        <v>85875</v>
      </c>
      <c r="K13" s="13" t="n">
        <f aca="false">MAX($E13,G13)</f>
        <v>85875</v>
      </c>
      <c r="L13" s="13" t="n">
        <f aca="false">MAX($E13,H13)</f>
        <v>85875</v>
      </c>
      <c r="M13" s="13" t="n">
        <f aca="false">MAX($E13,I13)</f>
        <v>85875</v>
      </c>
      <c r="N13" s="13" t="n">
        <f aca="false">MAX($E13,SUMIFS(Detaljer!$X$5:$X$75,Detaljer!$A$5:$A$75,$A13))</f>
        <v>85875</v>
      </c>
      <c r="O13" s="11" t="n">
        <v>85875</v>
      </c>
      <c r="P13" s="10" t="str">
        <f aca="false">IF(ABS(N13-O13)&lt;1,"OK","Avviker")</f>
        <v>OK</v>
      </c>
    </row>
    <row r="14" customFormat="false" ht="15" hidden="false" customHeight="false" outlineLevel="0" collapsed="false">
      <c r="A14" s="10" t="s">
        <v>34</v>
      </c>
      <c r="B14" s="10" t="s">
        <v>35</v>
      </c>
      <c r="C14" s="11" t="n">
        <v>70000</v>
      </c>
      <c r="D14" s="11" t="n">
        <v>70000</v>
      </c>
      <c r="E14" s="11" t="n">
        <v>0</v>
      </c>
      <c r="F14" s="12" t="n">
        <f aca="false">SUMIFS(Detaljer!$T$5:$T$75,Detaljer!$A$5:$A$75,$A14)</f>
        <v>70000</v>
      </c>
      <c r="G14" s="12" t="n">
        <f aca="false">SUMIFS(Detaljer!$U$5:$U$75,Detaljer!$A$5:$A$75,$A14)</f>
        <v>70000</v>
      </c>
      <c r="H14" s="12" t="n">
        <f aca="false">SUMIFS(Detaljer!$V$5:$V$75,Detaljer!$A$5:$A$75,$A14)</f>
        <v>70000</v>
      </c>
      <c r="I14" s="12" t="n">
        <f aca="false">SUMIFS(Detaljer!$W$5:$W$75,Detaljer!$A$5:$A$75,$A14)</f>
        <v>70000</v>
      </c>
      <c r="J14" s="13" t="n">
        <f aca="false">MAX($E14,F14)</f>
        <v>70000</v>
      </c>
      <c r="K14" s="13" t="n">
        <f aca="false">MAX($E14,G14)</f>
        <v>70000</v>
      </c>
      <c r="L14" s="13" t="n">
        <f aca="false">MAX($E14,H14)</f>
        <v>70000</v>
      </c>
      <c r="M14" s="13" t="n">
        <f aca="false">MAX($E14,I14)</f>
        <v>70000</v>
      </c>
      <c r="N14" s="13" t="n">
        <f aca="false">MAX($E14,SUMIFS(Detaljer!$X$5:$X$75,Detaljer!$A$5:$A$75,$A14))</f>
        <v>70000</v>
      </c>
      <c r="O14" s="11" t="n">
        <v>70000</v>
      </c>
      <c r="P14" s="10" t="str">
        <f aca="false">IF(ABS(N14-O14)&lt;1,"OK","Avviker")</f>
        <v>OK</v>
      </c>
    </row>
    <row r="15" customFormat="false" ht="15" hidden="false" customHeight="false" outlineLevel="0" collapsed="false">
      <c r="A15" s="10" t="s">
        <v>36</v>
      </c>
      <c r="B15" s="10" t="s">
        <v>37</v>
      </c>
      <c r="C15" s="11" t="n">
        <v>28750</v>
      </c>
      <c r="D15" s="11" t="n">
        <v>28750</v>
      </c>
      <c r="E15" s="11" t="n">
        <v>0</v>
      </c>
      <c r="F15" s="12" t="n">
        <f aca="false">SUMIFS(Detaljer!$T$5:$T$75,Detaljer!$A$5:$A$75,$A15)</f>
        <v>28750</v>
      </c>
      <c r="G15" s="12" t="n">
        <f aca="false">SUMIFS(Detaljer!$U$5:$U$75,Detaljer!$A$5:$A$75,$A15)</f>
        <v>28750</v>
      </c>
      <c r="H15" s="12" t="n">
        <f aca="false">SUMIFS(Detaljer!$V$5:$V$75,Detaljer!$A$5:$A$75,$A15)</f>
        <v>28750</v>
      </c>
      <c r="I15" s="12" t="n">
        <f aca="false">SUMIFS(Detaljer!$W$5:$W$75,Detaljer!$A$5:$A$75,$A15)</f>
        <v>28750</v>
      </c>
      <c r="J15" s="13" t="n">
        <f aca="false">MAX($E15,F15)</f>
        <v>28750</v>
      </c>
      <c r="K15" s="13" t="n">
        <f aca="false">MAX($E15,G15)</f>
        <v>28750</v>
      </c>
      <c r="L15" s="13" t="n">
        <f aca="false">MAX($E15,H15)</f>
        <v>28750</v>
      </c>
      <c r="M15" s="13" t="n">
        <f aca="false">MAX($E15,I15)</f>
        <v>28750</v>
      </c>
      <c r="N15" s="13" t="n">
        <f aca="false">MAX($E15,SUMIFS(Detaljer!$X$5:$X$75,Detaljer!$A$5:$A$75,$A15))</f>
        <v>28750</v>
      </c>
      <c r="O15" s="11" t="n">
        <v>28750</v>
      </c>
      <c r="P15" s="10" t="str">
        <f aca="false">IF(ABS(N15-O15)&lt;1,"OK","Avviker")</f>
        <v>OK</v>
      </c>
    </row>
    <row r="16" customFormat="false" ht="15" hidden="false" customHeight="false" outlineLevel="0" collapsed="false">
      <c r="A16" s="10" t="s">
        <v>38</v>
      </c>
      <c r="B16" s="10" t="s">
        <v>39</v>
      </c>
      <c r="C16" s="11" t="n">
        <v>209250</v>
      </c>
      <c r="D16" s="11" t="n">
        <v>209250</v>
      </c>
      <c r="E16" s="11" t="n">
        <v>110864.01</v>
      </c>
      <c r="F16" s="12" t="n">
        <f aca="false">SUMIFS(Detaljer!$T$5:$T$75,Detaljer!$A$5:$A$75,$A16)</f>
        <v>209250</v>
      </c>
      <c r="G16" s="12" t="n">
        <f aca="false">SUMIFS(Detaljer!$U$5:$U$75,Detaljer!$A$5:$A$75,$A16)</f>
        <v>209250</v>
      </c>
      <c r="H16" s="12" t="n">
        <f aca="false">SUMIFS(Detaljer!$V$5:$V$75,Detaljer!$A$5:$A$75,$A16)</f>
        <v>209250</v>
      </c>
      <c r="I16" s="12" t="n">
        <f aca="false">SUMIFS(Detaljer!$W$5:$W$75,Detaljer!$A$5:$A$75,$A16)</f>
        <v>209250</v>
      </c>
      <c r="J16" s="13" t="n">
        <f aca="false">MAX($E16,F16)</f>
        <v>209250</v>
      </c>
      <c r="K16" s="13" t="n">
        <f aca="false">MAX($E16,G16)</f>
        <v>209250</v>
      </c>
      <c r="L16" s="13" t="n">
        <f aca="false">MAX($E16,H16)</f>
        <v>209250</v>
      </c>
      <c r="M16" s="13" t="n">
        <f aca="false">MAX($E16,I16)</f>
        <v>209250</v>
      </c>
      <c r="N16" s="13" t="n">
        <f aca="false">MAX($E16,SUMIFS(Detaljer!$X$5:$X$75,Detaljer!$A$5:$A$75,$A16))</f>
        <v>209250</v>
      </c>
      <c r="O16" s="11" t="n">
        <v>209250</v>
      </c>
      <c r="P16" s="10" t="str">
        <f aca="false">IF(ABS(N16-O16)&lt;1,"OK","Avviker")</f>
        <v>OK</v>
      </c>
    </row>
    <row r="17" customFormat="false" ht="15" hidden="false" customHeight="false" outlineLevel="0" collapsed="false">
      <c r="A17" s="10" t="s">
        <v>40</v>
      </c>
      <c r="B17" s="10" t="s">
        <v>41</v>
      </c>
      <c r="C17" s="11" t="n">
        <v>76250</v>
      </c>
      <c r="D17" s="11" t="n">
        <v>76250</v>
      </c>
      <c r="E17" s="11" t="n">
        <v>28036.25</v>
      </c>
      <c r="F17" s="12" t="n">
        <f aca="false">SUMIFS(Detaljer!$T$5:$T$75,Detaljer!$A$5:$A$75,$A17)</f>
        <v>76250</v>
      </c>
      <c r="G17" s="12" t="n">
        <f aca="false">SUMIFS(Detaljer!$U$5:$U$75,Detaljer!$A$5:$A$75,$A17)</f>
        <v>76250</v>
      </c>
      <c r="H17" s="12" t="n">
        <f aca="false">SUMIFS(Detaljer!$V$5:$V$75,Detaljer!$A$5:$A$75,$A17)</f>
        <v>76250</v>
      </c>
      <c r="I17" s="12" t="n">
        <f aca="false">SUMIFS(Detaljer!$W$5:$W$75,Detaljer!$A$5:$A$75,$A17)</f>
        <v>76250</v>
      </c>
      <c r="J17" s="13" t="n">
        <f aca="false">MAX($E17,F17)</f>
        <v>76250</v>
      </c>
      <c r="K17" s="13" t="n">
        <f aca="false">MAX($E17,G17)</f>
        <v>76250</v>
      </c>
      <c r="L17" s="13" t="n">
        <f aca="false">MAX($E17,H17)</f>
        <v>76250</v>
      </c>
      <c r="M17" s="13" t="n">
        <f aca="false">MAX($E17,I17)</f>
        <v>76250</v>
      </c>
      <c r="N17" s="13" t="n">
        <f aca="false">MAX($E17,SUMIFS(Detaljer!$X$5:$X$75,Detaljer!$A$5:$A$75,$A17))</f>
        <v>76250</v>
      </c>
      <c r="O17" s="11" t="n">
        <v>76250</v>
      </c>
      <c r="P17" s="10" t="str">
        <f aca="false">IF(ABS(N17-O17)&lt;1,"OK","Avviker")</f>
        <v>OK</v>
      </c>
    </row>
    <row r="18" customFormat="false" ht="15" hidden="false" customHeight="false" outlineLevel="0" collapsed="false">
      <c r="A18" s="10" t="s">
        <v>42</v>
      </c>
      <c r="B18" s="10" t="s">
        <v>43</v>
      </c>
      <c r="C18" s="11" t="n">
        <v>200000</v>
      </c>
      <c r="D18" s="11" t="n">
        <v>0</v>
      </c>
      <c r="E18" s="11" t="n">
        <v>0</v>
      </c>
      <c r="F18" s="12" t="n">
        <f aca="false">SUMIFS(Detaljer!$T$5:$T$75,Detaljer!$A$5:$A$75,$A18)</f>
        <v>0</v>
      </c>
      <c r="G18" s="12" t="n">
        <f aca="false">SUMIFS(Detaljer!$U$5:$U$75,Detaljer!$A$5:$A$75,$A18)</f>
        <v>0</v>
      </c>
      <c r="H18" s="12" t="n">
        <f aca="false">SUMIFS(Detaljer!$V$5:$V$75,Detaljer!$A$5:$A$75,$A18)</f>
        <v>0</v>
      </c>
      <c r="I18" s="12" t="n">
        <f aca="false">SUMIFS(Detaljer!$W$5:$W$75,Detaljer!$A$5:$A$75,$A18)</f>
        <v>0</v>
      </c>
      <c r="J18" s="13" t="n">
        <f aca="false">MAX($E18,F18)</f>
        <v>0</v>
      </c>
      <c r="K18" s="13" t="n">
        <f aca="false">MAX($E18,G18)</f>
        <v>0</v>
      </c>
      <c r="L18" s="13" t="n">
        <f aca="false">MAX($E18,H18)</f>
        <v>0</v>
      </c>
      <c r="M18" s="13" t="n">
        <f aca="false">MAX($E18,I18)</f>
        <v>0</v>
      </c>
      <c r="N18" s="13" t="n">
        <f aca="false">MAX($E18,SUMIFS(Detaljer!$X$5:$X$75,Detaljer!$A$5:$A$75,$A18))</f>
        <v>0</v>
      </c>
      <c r="O18" s="11" t="n">
        <v>0</v>
      </c>
      <c r="P18" s="10" t="str">
        <f aca="false">IF(ABS(N18-O18)&lt;1,"OK","Avviker")</f>
        <v>OK</v>
      </c>
    </row>
    <row r="19" customFormat="false" ht="15" hidden="false" customHeight="false" outlineLevel="0" collapsed="false">
      <c r="A19" s="10" t="s">
        <v>44</v>
      </c>
      <c r="B19" s="10" t="s">
        <v>45</v>
      </c>
      <c r="C19" s="11" t="n">
        <v>750000</v>
      </c>
      <c r="D19" s="11" t="n">
        <v>0</v>
      </c>
      <c r="E19" s="11" t="n">
        <v>0</v>
      </c>
      <c r="F19" s="12" t="n">
        <f aca="false">SUMIFS(Detaljer!$T$5:$T$75,Detaljer!$A$5:$A$75,$A19)</f>
        <v>0</v>
      </c>
      <c r="G19" s="12" t="n">
        <f aca="false">SUMIFS(Detaljer!$U$5:$U$75,Detaljer!$A$5:$A$75,$A19)</f>
        <v>0</v>
      </c>
      <c r="H19" s="12" t="n">
        <f aca="false">SUMIFS(Detaljer!$V$5:$V$75,Detaljer!$A$5:$A$75,$A19)</f>
        <v>0</v>
      </c>
      <c r="I19" s="12" t="n">
        <f aca="false">SUMIFS(Detaljer!$W$5:$W$75,Detaljer!$A$5:$A$75,$A19)</f>
        <v>0</v>
      </c>
      <c r="J19" s="13" t="n">
        <f aca="false">MAX($E19,F19)</f>
        <v>0</v>
      </c>
      <c r="K19" s="13" t="n">
        <f aca="false">MAX($E19,G19)</f>
        <v>0</v>
      </c>
      <c r="L19" s="13" t="n">
        <f aca="false">MAX($E19,H19)</f>
        <v>0</v>
      </c>
      <c r="M19" s="13" t="n">
        <f aca="false">MAX($E19,I19)</f>
        <v>0</v>
      </c>
      <c r="N19" s="13" t="n">
        <f aca="false">MAX($E19,SUMIFS(Detaljer!$X$5:$X$75,Detaljer!$A$5:$A$75,$A19))</f>
        <v>0</v>
      </c>
      <c r="O19" s="11" t="n">
        <v>0</v>
      </c>
      <c r="P19" s="10" t="str">
        <f aca="false">IF(ABS(N19-O19)&lt;1,"OK","Avviker")</f>
        <v>OK</v>
      </c>
    </row>
    <row r="20" customFormat="false" ht="15" hidden="false" customHeight="false" outlineLevel="0" collapsed="false">
      <c r="A20" s="10" t="s">
        <v>46</v>
      </c>
      <c r="B20" s="10" t="s">
        <v>47</v>
      </c>
      <c r="C20" s="11" t="n">
        <v>0</v>
      </c>
      <c r="D20" s="11" t="n">
        <v>0</v>
      </c>
      <c r="E20" s="11" t="n">
        <v>225462.66</v>
      </c>
      <c r="F20" s="12" t="n">
        <f aca="false">SUMIFS(Detaljer!$T$5:$T$75,Detaljer!$A$5:$A$75,$A20)</f>
        <v>0</v>
      </c>
      <c r="G20" s="12" t="n">
        <f aca="false">SUMIFS(Detaljer!$U$5:$U$75,Detaljer!$A$5:$A$75,$A20)</f>
        <v>0</v>
      </c>
      <c r="H20" s="12" t="n">
        <f aca="false">SUMIFS(Detaljer!$V$5:$V$75,Detaljer!$A$5:$A$75,$A20)</f>
        <v>0</v>
      </c>
      <c r="I20" s="12" t="n">
        <f aca="false">SUMIFS(Detaljer!$W$5:$W$75,Detaljer!$A$5:$A$75,$A20)</f>
        <v>0</v>
      </c>
      <c r="J20" s="13" t="n">
        <f aca="false">MAX($E20,F20)</f>
        <v>225462.66</v>
      </c>
      <c r="K20" s="13" t="n">
        <f aca="false">MAX($E20,G20)</f>
        <v>225462.66</v>
      </c>
      <c r="L20" s="13" t="n">
        <f aca="false">MAX($E20,H20)</f>
        <v>225462.66</v>
      </c>
      <c r="M20" s="13" t="n">
        <f aca="false">MAX($E20,I20)</f>
        <v>225462.66</v>
      </c>
      <c r="N20" s="13" t="n">
        <f aca="false">MAX($E20,SUMIFS(Detaljer!$X$5:$X$75,Detaljer!$A$5:$A$75,$A20))</f>
        <v>225462.66</v>
      </c>
      <c r="O20" s="11" t="n">
        <v>225462.66</v>
      </c>
      <c r="P20" s="10" t="str">
        <f aca="false">IF(ABS(N20-O20)&lt;1,"OK","Avviker")</f>
        <v>OK</v>
      </c>
    </row>
    <row r="21" customFormat="false" ht="15" hidden="false" customHeight="false" outlineLevel="0" collapsed="false">
      <c r="A21" s="10" t="s">
        <v>48</v>
      </c>
      <c r="B21" s="10" t="s">
        <v>49</v>
      </c>
      <c r="C21" s="11" t="n">
        <v>0</v>
      </c>
      <c r="D21" s="11" t="n">
        <v>173851</v>
      </c>
      <c r="E21" s="11" t="n">
        <v>0</v>
      </c>
      <c r="F21" s="12" t="n">
        <f aca="false">SUMIFS(Detaljer!$T$5:$T$75,Detaljer!$A$5:$A$75,$A21)</f>
        <v>121711.25</v>
      </c>
      <c r="G21" s="12" t="n">
        <f aca="false">SUMIFS(Detaljer!$U$5:$U$75,Detaljer!$A$5:$A$75,$A21)</f>
        <v>102506.25</v>
      </c>
      <c r="H21" s="12" t="n">
        <f aca="false">SUMIFS(Detaljer!$V$5:$V$75,Detaljer!$A$5:$A$75,$A21)</f>
        <v>98432.5</v>
      </c>
      <c r="I21" s="12" t="n">
        <f aca="false">SUMIFS(Detaljer!$W$5:$W$75,Detaljer!$A$5:$A$75,$A21)</f>
        <v>98432.5</v>
      </c>
      <c r="J21" s="13" t="n">
        <f aca="false">MAX($E21,F21)</f>
        <v>121711.25</v>
      </c>
      <c r="K21" s="13" t="n">
        <f aca="false">MAX($E21,G21)</f>
        <v>102506.25</v>
      </c>
      <c r="L21" s="13" t="n">
        <f aca="false">MAX($E21,H21)</f>
        <v>98432.5</v>
      </c>
      <c r="M21" s="13" t="n">
        <f aca="false">MAX($E21,I21)</f>
        <v>98432.5</v>
      </c>
      <c r="N21" s="13" t="n">
        <f aca="false">MAX($E21,SUMIFS(Detaljer!$X$5:$X$75,Detaljer!$A$5:$A$75,$A21))</f>
        <v>121711.25</v>
      </c>
      <c r="O21" s="11" t="n">
        <v>121711.25</v>
      </c>
      <c r="P21" s="10" t="str">
        <f aca="false">IF(ABS(N21-O21)&lt;1,"OK","Avviker")</f>
        <v>OK</v>
      </c>
    </row>
    <row r="22" customFormat="false" ht="15" hidden="false" customHeight="false" outlineLevel="0" collapsed="false">
      <c r="A22" s="10" t="s">
        <v>50</v>
      </c>
      <c r="B22" s="10" t="s">
        <v>51</v>
      </c>
      <c r="C22" s="11" t="n">
        <v>0</v>
      </c>
      <c r="D22" s="11" t="n">
        <v>569543</v>
      </c>
      <c r="E22" s="11" t="n">
        <v>0</v>
      </c>
      <c r="F22" s="12" t="n">
        <f aca="false">SUMIFS(Detaljer!$T$5:$T$75,Detaljer!$A$5:$A$75,$A22)</f>
        <v>569542.5</v>
      </c>
      <c r="G22" s="12" t="n">
        <f aca="false">SUMIFS(Detaljer!$U$5:$U$75,Detaljer!$A$5:$A$75,$A22)</f>
        <v>569542.5</v>
      </c>
      <c r="H22" s="12" t="n">
        <f aca="false">SUMIFS(Detaljer!$V$5:$V$75,Detaljer!$A$5:$A$75,$A22)</f>
        <v>569542.5</v>
      </c>
      <c r="I22" s="12" t="n">
        <f aca="false">SUMIFS(Detaljer!$W$5:$W$75,Detaljer!$A$5:$A$75,$A22)</f>
        <v>569542.5</v>
      </c>
      <c r="J22" s="13" t="n">
        <f aca="false">MAX($E22,F22)</f>
        <v>569542.5</v>
      </c>
      <c r="K22" s="13" t="n">
        <f aca="false">MAX($E22,G22)</f>
        <v>569542.5</v>
      </c>
      <c r="L22" s="13" t="n">
        <f aca="false">MAX($E22,H22)</f>
        <v>569542.5</v>
      </c>
      <c r="M22" s="13" t="n">
        <f aca="false">MAX($E22,I22)</f>
        <v>569542.5</v>
      </c>
      <c r="N22" s="13" t="n">
        <f aca="false">MAX($E22,SUMIFS(Detaljer!$X$5:$X$75,Detaljer!$A$5:$A$75,$A22))</f>
        <v>569542.5</v>
      </c>
      <c r="O22" s="11" t="n">
        <v>569542.5</v>
      </c>
      <c r="P22" s="10" t="str">
        <f aca="false">IF(ABS(N22-O22)&lt;1,"OK","Avviker")</f>
        <v>OK</v>
      </c>
    </row>
    <row r="23" customFormat="false" ht="15" hidden="false" customHeight="false" outlineLevel="0" collapsed="false">
      <c r="A23" s="10" t="s">
        <v>52</v>
      </c>
      <c r="B23" s="10" t="s">
        <v>53</v>
      </c>
      <c r="C23" s="11" t="n">
        <v>0</v>
      </c>
      <c r="D23" s="11" t="n">
        <v>1997523</v>
      </c>
      <c r="E23" s="11" t="n">
        <v>0</v>
      </c>
      <c r="F23" s="12" t="n">
        <f aca="false">SUMIFS(Detaljer!$T$5:$T$75,Detaljer!$A$5:$A$75,$A23)</f>
        <v>1997522.5</v>
      </c>
      <c r="G23" s="12" t="n">
        <f aca="false">SUMIFS(Detaljer!$U$5:$U$75,Detaljer!$A$5:$A$75,$A23)</f>
        <v>1997522.5</v>
      </c>
      <c r="H23" s="12" t="n">
        <f aca="false">SUMIFS(Detaljer!$V$5:$V$75,Detaljer!$A$5:$A$75,$A23)</f>
        <v>1997522.5</v>
      </c>
      <c r="I23" s="12" t="n">
        <f aca="false">SUMIFS(Detaljer!$W$5:$W$75,Detaljer!$A$5:$A$75,$A23)</f>
        <v>1997522.5</v>
      </c>
      <c r="J23" s="13" t="n">
        <f aca="false">MAX($E23,F23)</f>
        <v>1997522.5</v>
      </c>
      <c r="K23" s="13" t="n">
        <f aca="false">MAX($E23,G23)</f>
        <v>1997522.5</v>
      </c>
      <c r="L23" s="13" t="n">
        <f aca="false">MAX($E23,H23)</f>
        <v>1997522.5</v>
      </c>
      <c r="M23" s="13" t="n">
        <f aca="false">MAX($E23,I23)</f>
        <v>1997522.5</v>
      </c>
      <c r="N23" s="13" t="n">
        <f aca="false">MAX($E23,SUMIFS(Detaljer!$X$5:$X$75,Detaljer!$A$5:$A$75,$A23))</f>
        <v>1997522.5</v>
      </c>
      <c r="O23" s="11" t="n">
        <v>1997522.5</v>
      </c>
      <c r="P23" s="10" t="str">
        <f aca="false">IF(ABS(N23-O23)&lt;1,"OK","Avviker")</f>
        <v>OK</v>
      </c>
    </row>
    <row r="24" customFormat="false" ht="15" hidden="false" customHeight="false" outlineLevel="0" collapsed="false">
      <c r="A24" s="10" t="s">
        <v>54</v>
      </c>
      <c r="B24" s="10" t="s">
        <v>55</v>
      </c>
      <c r="C24" s="11" t="n">
        <v>0</v>
      </c>
      <c r="D24" s="11" t="n">
        <v>194573</v>
      </c>
      <c r="E24" s="11" t="n">
        <v>0</v>
      </c>
      <c r="F24" s="12" t="n">
        <f aca="false">SUMIFS(Detaljer!$T$5:$T$75,Detaljer!$A$5:$A$75,$A24)</f>
        <v>194572.5</v>
      </c>
      <c r="G24" s="12" t="n">
        <f aca="false">SUMIFS(Detaljer!$U$5:$U$75,Detaljer!$A$5:$A$75,$A24)</f>
        <v>194572.5</v>
      </c>
      <c r="H24" s="12" t="n">
        <f aca="false">SUMIFS(Detaljer!$V$5:$V$75,Detaljer!$A$5:$A$75,$A24)</f>
        <v>194572.5</v>
      </c>
      <c r="I24" s="12" t="n">
        <f aca="false">SUMIFS(Detaljer!$W$5:$W$75,Detaljer!$A$5:$A$75,$A24)</f>
        <v>194572.5</v>
      </c>
      <c r="J24" s="13" t="n">
        <f aca="false">MAX($E24,F24)</f>
        <v>194572.5</v>
      </c>
      <c r="K24" s="13" t="n">
        <f aca="false">MAX($E24,G24)</f>
        <v>194572.5</v>
      </c>
      <c r="L24" s="13" t="n">
        <f aca="false">MAX($E24,H24)</f>
        <v>194572.5</v>
      </c>
      <c r="M24" s="13" t="n">
        <f aca="false">MAX($E24,I24)</f>
        <v>194572.5</v>
      </c>
      <c r="N24" s="13" t="n">
        <f aca="false">MAX($E24,SUMIFS(Detaljer!$X$5:$X$75,Detaljer!$A$5:$A$75,$A24))</f>
        <v>194572.5</v>
      </c>
      <c r="O24" s="11" t="n">
        <v>194572.5</v>
      </c>
      <c r="P24" s="10" t="str">
        <f aca="false">IF(ABS(N24-O24)&lt;1,"OK","Avviker")</f>
        <v>OK</v>
      </c>
    </row>
    <row r="25" customFormat="false" ht="15" hidden="false" customHeight="false" outlineLevel="0" collapsed="false">
      <c r="A25" s="10" t="s">
        <v>56</v>
      </c>
      <c r="B25" s="10" t="s">
        <v>57</v>
      </c>
      <c r="C25" s="11" t="n">
        <v>0</v>
      </c>
      <c r="D25" s="11" t="n">
        <v>1590300</v>
      </c>
      <c r="E25" s="11" t="n">
        <v>0</v>
      </c>
      <c r="F25" s="12" t="n">
        <f aca="false">SUMIFS(Detaljer!$T$5:$T$75,Detaljer!$A$5:$A$75,$A25)</f>
        <v>1155050</v>
      </c>
      <c r="G25" s="12" t="n">
        <f aca="false">SUMIFS(Detaljer!$U$5:$U$75,Detaljer!$A$5:$A$75,$A25)</f>
        <v>933050</v>
      </c>
      <c r="H25" s="12" t="n">
        <f aca="false">SUMIFS(Detaljer!$V$5:$V$75,Detaljer!$A$5:$A$75,$A25)</f>
        <v>612300</v>
      </c>
      <c r="I25" s="12" t="n">
        <f aca="false">SUMIFS(Detaljer!$W$5:$W$75,Detaljer!$A$5:$A$75,$A25)</f>
        <v>612300</v>
      </c>
      <c r="J25" s="13" t="n">
        <f aca="false">MAX($E25,F25)</f>
        <v>1155050</v>
      </c>
      <c r="K25" s="13" t="n">
        <f aca="false">MAX($E25,G25)</f>
        <v>933050</v>
      </c>
      <c r="L25" s="13" t="n">
        <f aca="false">MAX($E25,H25)</f>
        <v>612300</v>
      </c>
      <c r="M25" s="13" t="n">
        <f aca="false">MAX($E25,I25)</f>
        <v>612300</v>
      </c>
      <c r="N25" s="13" t="n">
        <f aca="false">MAX($E25,SUMIFS(Detaljer!$X$5:$X$75,Detaljer!$A$5:$A$75,$A25))</f>
        <v>612300</v>
      </c>
      <c r="O25" s="11" t="n">
        <v>612300</v>
      </c>
      <c r="P25" s="10" t="str">
        <f aca="false">IF(ABS(N25-O25)&lt;1,"OK","Avviker")</f>
        <v>OK</v>
      </c>
    </row>
    <row r="26" customFormat="false" ht="15" hidden="false" customHeight="false" outlineLevel="0" collapsed="false">
      <c r="A26" s="10" t="s">
        <v>58</v>
      </c>
      <c r="B26" s="10" t="s">
        <v>59</v>
      </c>
      <c r="C26" s="11" t="n">
        <v>0</v>
      </c>
      <c r="D26" s="11" t="n">
        <v>0</v>
      </c>
      <c r="E26" s="11" t="n">
        <v>142884</v>
      </c>
      <c r="F26" s="12" t="n">
        <f aca="false">SUMIFS(Detaljer!$T$5:$T$75,Detaljer!$A$5:$A$75,$A26)</f>
        <v>0</v>
      </c>
      <c r="G26" s="12" t="n">
        <f aca="false">SUMIFS(Detaljer!$U$5:$U$75,Detaljer!$A$5:$A$75,$A26)</f>
        <v>0</v>
      </c>
      <c r="H26" s="12" t="n">
        <f aca="false">SUMIFS(Detaljer!$V$5:$V$75,Detaljer!$A$5:$A$75,$A26)</f>
        <v>0</v>
      </c>
      <c r="I26" s="12" t="n">
        <f aca="false">SUMIFS(Detaljer!$W$5:$W$75,Detaljer!$A$5:$A$75,$A26)</f>
        <v>0</v>
      </c>
      <c r="J26" s="13" t="n">
        <f aca="false">MAX($E26,F26)</f>
        <v>142884</v>
      </c>
      <c r="K26" s="13" t="n">
        <f aca="false">MAX($E26,G26)</f>
        <v>142884</v>
      </c>
      <c r="L26" s="13" t="n">
        <f aca="false">MAX($E26,H26)</f>
        <v>142884</v>
      </c>
      <c r="M26" s="13" t="n">
        <f aca="false">MAX($E26,I26)</f>
        <v>142884</v>
      </c>
      <c r="N26" s="13" t="n">
        <f aca="false">MAX($E26,SUMIFS(Detaljer!$X$5:$X$75,Detaljer!$A$5:$A$75,$A26))</f>
        <v>142884</v>
      </c>
      <c r="O26" s="11" t="n">
        <v>142884</v>
      </c>
      <c r="P26" s="10" t="str">
        <f aca="false">IF(ABS(N26-O26)&lt;1,"OK","Avviker")</f>
        <v>OK</v>
      </c>
    </row>
    <row r="27" customFormat="false" ht="15" hidden="false" customHeight="false" outlineLevel="0" collapsed="false">
      <c r="A27" s="14"/>
      <c r="B27" s="15" t="s">
        <v>60</v>
      </c>
      <c r="C27" s="16" t="n">
        <f aca="false">SUM(C7:C26)</f>
        <v>3142250</v>
      </c>
      <c r="D27" s="16" t="n">
        <f aca="false">SUM(D7:D26)</f>
        <v>6603915</v>
      </c>
      <c r="E27" s="16" t="n">
        <f aca="false">SUM(E7:E26)</f>
        <v>933624.21</v>
      </c>
      <c r="F27" s="16" t="n">
        <f aca="false">SUM(F7:F26)</f>
        <v>6116523.75</v>
      </c>
      <c r="G27" s="16" t="n">
        <f aca="false">SUM(G7:G26)</f>
        <v>5875318.75</v>
      </c>
      <c r="H27" s="16" t="n">
        <f aca="false">SUM(H7:H26)</f>
        <v>5550495</v>
      </c>
      <c r="I27" s="16" t="n">
        <f aca="false">SUM(I7:I26)</f>
        <v>5550495</v>
      </c>
      <c r="J27" s="16" t="n">
        <f aca="false">SUM(J7:J26)</f>
        <v>6484870.41</v>
      </c>
      <c r="K27" s="16" t="n">
        <f aca="false">SUM(K7:K26)</f>
        <v>6243665.41</v>
      </c>
      <c r="L27" s="16" t="n">
        <f aca="false">SUM(L7:L26)</f>
        <v>5918841.66</v>
      </c>
      <c r="M27" s="16" t="n">
        <f aca="false">SUM(M7:M26)</f>
        <v>5918841.66</v>
      </c>
      <c r="N27" s="16" t="n">
        <f aca="false">SUM(N7:N26)</f>
        <v>5942120.41</v>
      </c>
      <c r="O27" s="16" t="n">
        <f aca="false">SUM(O7:O26)</f>
        <v>5942120.41</v>
      </c>
      <c r="P27" s="15" t="str">
        <f aca="false">IF(ABS(N27-O27)&lt;1,"OK","Avviker")</f>
        <v>OK</v>
      </c>
    </row>
    <row r="28" customFormat="false" ht="15" hidden="false" customHeight="false" outlineLevel="0" collapsed="false">
      <c r="A28" s="10"/>
      <c r="B28" s="10" t="s">
        <v>61</v>
      </c>
      <c r="C28" s="11" t="n">
        <v>-200000</v>
      </c>
      <c r="D28" s="11" t="n">
        <v>-200000</v>
      </c>
      <c r="E28" s="11" t="n">
        <v>-27666</v>
      </c>
      <c r="F28" s="13"/>
      <c r="G28" s="13"/>
      <c r="H28" s="13"/>
      <c r="I28" s="13"/>
      <c r="J28" s="13" t="n">
        <f aca="false">$C$4</f>
        <v>-200000</v>
      </c>
      <c r="K28" s="13" t="n">
        <f aca="false">$C$4</f>
        <v>-200000</v>
      </c>
      <c r="L28" s="13" t="n">
        <f aca="false">$C$4</f>
        <v>-200000</v>
      </c>
      <c r="M28" s="13" t="n">
        <f aca="false">$C$4</f>
        <v>-200000</v>
      </c>
      <c r="N28" s="13" t="n">
        <f aca="false">$C$4</f>
        <v>-200000</v>
      </c>
      <c r="O28" s="13"/>
      <c r="P28" s="10"/>
    </row>
    <row r="29" customFormat="false" ht="15" hidden="false" customHeight="false" outlineLevel="0" collapsed="false">
      <c r="A29" s="14"/>
      <c r="B29" s="15" t="s">
        <v>62</v>
      </c>
      <c r="C29" s="16" t="n">
        <f aca="false">C27+C28</f>
        <v>2942250</v>
      </c>
      <c r="D29" s="16" t="n">
        <f aca="false">D27+D28</f>
        <v>6403915</v>
      </c>
      <c r="E29" s="16" t="n">
        <f aca="false">E27+E28</f>
        <v>905958.21</v>
      </c>
      <c r="F29" s="17"/>
      <c r="G29" s="17"/>
      <c r="H29" s="17"/>
      <c r="I29" s="17"/>
      <c r="J29" s="16" t="n">
        <f aca="false">J27+J28</f>
        <v>6284870.41</v>
      </c>
      <c r="K29" s="16" t="n">
        <f aca="false">K27+K28</f>
        <v>6043665.41</v>
      </c>
      <c r="L29" s="16" t="n">
        <f aca="false">L27+L28</f>
        <v>5718841.66</v>
      </c>
      <c r="M29" s="16" t="n">
        <f aca="false">M27+M28</f>
        <v>5718841.66</v>
      </c>
      <c r="N29" s="16" t="n">
        <f aca="false">N27+N28</f>
        <v>5742120.41</v>
      </c>
      <c r="O29" s="17"/>
      <c r="P29" s="14"/>
    </row>
    <row r="30" customFormat="false" ht="15" hidden="false" customHeight="false" outlineLevel="0" collapsed="false">
      <c r="A30" s="10"/>
      <c r="B30" s="10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0"/>
    </row>
    <row r="31" customFormat="false" ht="15" hidden="false" customHeight="false" outlineLevel="0" collapsed="false">
      <c r="A31" s="10"/>
      <c r="B31" s="18" t="s">
        <v>63</v>
      </c>
      <c r="C31" s="13"/>
      <c r="D31" s="13"/>
      <c r="E31" s="13"/>
      <c r="F31" s="13"/>
      <c r="G31" s="13"/>
      <c r="H31" s="13"/>
      <c r="I31" s="13"/>
      <c r="J31" s="13" t="n">
        <f aca="false">J29-$J$29</f>
        <v>0</v>
      </c>
      <c r="K31" s="13" t="n">
        <f aca="false">K29-$J$29</f>
        <v>-241205</v>
      </c>
      <c r="L31" s="13" t="n">
        <f aca="false">L29-$J$29</f>
        <v>-566028.75</v>
      </c>
      <c r="M31" s="13" t="n">
        <f aca="false">M29-$J$29</f>
        <v>-566028.75</v>
      </c>
      <c r="N31" s="13" t="n">
        <f aca="false">N29-$J$29</f>
        <v>-542750</v>
      </c>
      <c r="O31" s="13"/>
      <c r="P31" s="10"/>
    </row>
    <row r="32" customFormat="false" ht="15" hidden="false" customHeight="false" outlineLevel="0" collapsed="false">
      <c r="A32" s="10"/>
      <c r="B32" s="18" t="s">
        <v>64</v>
      </c>
      <c r="C32" s="13"/>
      <c r="D32" s="13"/>
      <c r="E32" s="13"/>
      <c r="F32" s="13"/>
      <c r="G32" s="13"/>
      <c r="H32" s="13"/>
      <c r="I32" s="13"/>
      <c r="J32" s="13" t="n">
        <f aca="false">J27-$D$27</f>
        <v>-119044.59</v>
      </c>
      <c r="K32" s="13" t="n">
        <f aca="false">K27-$D$27</f>
        <v>-360249.59</v>
      </c>
      <c r="L32" s="13" t="n">
        <f aca="false">L27-$D$27</f>
        <v>-685073.34</v>
      </c>
      <c r="M32" s="13" t="n">
        <f aca="false">M27-$D$27</f>
        <v>-685073.34</v>
      </c>
      <c r="N32" s="13" t="n">
        <f aca="false">N27-$D$27</f>
        <v>-661794.59</v>
      </c>
      <c r="O32" s="13"/>
      <c r="P32" s="10"/>
    </row>
    <row r="34" customFormat="false" ht="15" hidden="false" customHeight="false" outlineLevel="0" collapsed="false">
      <c r="A34" s="3" t="s">
        <v>65</v>
      </c>
    </row>
    <row r="35" customFormat="false" ht="15" hidden="false" customHeight="false" outlineLevel="0" collapsed="false">
      <c r="A35" s="2" t="s">
        <v>66</v>
      </c>
    </row>
    <row r="36" customFormat="false" ht="15" hidden="false" customHeight="false" outlineLevel="0" collapsed="false">
      <c r="A36" s="2" t="s">
        <v>67</v>
      </c>
    </row>
    <row r="37" customFormat="false" ht="15" hidden="false" customHeight="false" outlineLevel="0" collapsed="false">
      <c r="A37" s="2" t="s">
        <v>68</v>
      </c>
    </row>
    <row r="38" customFormat="false" ht="15" hidden="false" customHeight="false" outlineLevel="0" collapsed="false">
      <c r="A38" s="2" t="s">
        <v>69</v>
      </c>
    </row>
    <row r="39" customFormat="false" ht="15" hidden="false" customHeight="false" outlineLevel="0" collapsed="false">
      <c r="A39" s="2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30"/>
    <col collapsed="false" customWidth="true" hidden="false" outlineLevel="0" max="9" min="9" style="0" width="12"/>
    <col collapsed="false" customWidth="true" hidden="false" outlineLevel="0" max="10" min="10" style="0" width="22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7.35" hidden="false" customHeight="false" outlineLevel="0" collapsed="false">
      <c r="A1" s="1" t="s">
        <v>71</v>
      </c>
    </row>
    <row r="2" customFormat="false" ht="15" hidden="false" customHeight="false" outlineLevel="0" collapsed="false">
      <c r="A2" s="2" t="s">
        <v>72</v>
      </c>
    </row>
    <row r="4" customFormat="false" ht="30" hidden="false" customHeight="true" outlineLevel="0" collapsed="false">
      <c r="A4" s="5" t="s">
        <v>73</v>
      </c>
      <c r="B4" s="5" t="s">
        <v>5</v>
      </c>
      <c r="C4" s="5" t="s">
        <v>74</v>
      </c>
      <c r="D4" s="5" t="s">
        <v>75</v>
      </c>
      <c r="E4" s="5" t="s">
        <v>76</v>
      </c>
      <c r="F4" s="5" t="s">
        <v>77</v>
      </c>
      <c r="G4" s="5" t="s">
        <v>78</v>
      </c>
      <c r="H4" s="5" t="s">
        <v>79</v>
      </c>
      <c r="I4" s="5" t="s">
        <v>80</v>
      </c>
      <c r="J4" s="5" t="s">
        <v>81</v>
      </c>
      <c r="K4" s="5" t="s">
        <v>82</v>
      </c>
      <c r="L4" s="5" t="s">
        <v>83</v>
      </c>
      <c r="M4" s="5" t="s">
        <v>84</v>
      </c>
    </row>
    <row r="5" customFormat="false" ht="23.85" hidden="false" customHeight="false" outlineLevel="0" collapsed="false">
      <c r="A5" s="10" t="s">
        <v>85</v>
      </c>
      <c r="B5" s="10" t="s">
        <v>49</v>
      </c>
      <c r="C5" s="10" t="n">
        <v>2</v>
      </c>
      <c r="D5" s="19" t="str">
        <f aca="false">IF(Detaljer!K33="","",Detaljer!K33)</f>
        <v>tvättställsblandare Dornbracht Meta (Alt 1)</v>
      </c>
      <c r="E5" s="20" t="n">
        <f aca="false">IF(Detaljer!L33="","",Detaljer!L33)</f>
        <v>5715</v>
      </c>
      <c r="F5" s="21" t="str">
        <f aca="false">IF(Detaljer!M33="","",Detaljer!M33)</f>
        <v>tvättställsblandare Scandtap Equip Classic (Alt 2)</v>
      </c>
      <c r="G5" s="22" t="n">
        <f aca="false">IF(Detaljer!N33="","",Detaljer!N33)</f>
        <v>4556.25</v>
      </c>
      <c r="H5" s="23" t="str">
        <f aca="false">IF(Detaljer!O33="","",Detaljer!O33)</f>
        <v/>
      </c>
      <c r="I5" s="24" t="str">
        <f aca="false">IF(Detaljer!P33="","",Detaljer!P33)</f>
        <v/>
      </c>
      <c r="J5" s="25" t="str">
        <f aca="false">IF(Detaljer!Q33="","",Detaljer!Q33)</f>
        <v/>
      </c>
      <c r="K5" s="26" t="str">
        <f aca="false">IF(Detaljer!R33="","",Detaljer!R33)</f>
        <v/>
      </c>
      <c r="L5" s="13" t="n">
        <f aca="false">MAX(Detaljer!L33,Detaljer!N33,Detaljer!P33,Detaljer!R33)-MIN(Detaljer!L33,Detaljer!N33,Detaljer!P33,Detaljer!R33)</f>
        <v>1158.75</v>
      </c>
      <c r="M5" s="27" t="str">
        <f aca="false">Detaljer!S33</f>
        <v>Lyx</v>
      </c>
    </row>
    <row r="6" customFormat="false" ht="23.85" hidden="false" customHeight="false" outlineLevel="0" collapsed="false">
      <c r="A6" s="10" t="s">
        <v>86</v>
      </c>
      <c r="B6" s="10" t="s">
        <v>49</v>
      </c>
      <c r="C6" s="10" t="n">
        <v>2</v>
      </c>
      <c r="D6" s="19" t="str">
        <f aca="false">IF(Detaljer!K34="","",Detaljer!K34)</f>
        <v>duschblandare Dornbracht Tara Showerpipe + handdusch (Alt 1)</v>
      </c>
      <c r="E6" s="20" t="n">
        <f aca="false">IF(Detaljer!L34="","",Detaljer!L34)</f>
        <v>31817.5</v>
      </c>
      <c r="F6" s="21" t="str">
        <f aca="false">IF(Detaljer!M34="","",Detaljer!M34)</f>
        <v>duschblandare Scandtap Steel Pleasure 2 Classic (Alt 2)</v>
      </c>
      <c r="G6" s="22" t="n">
        <f aca="false">IF(Detaljer!N34="","",Detaljer!N34)</f>
        <v>18811.25</v>
      </c>
      <c r="H6" s="23" t="str">
        <f aca="false">IF(Detaljer!O34="","",Detaljer!O34)</f>
        <v/>
      </c>
      <c r="I6" s="24" t="str">
        <f aca="false">IF(Detaljer!P34="","",Detaljer!P34)</f>
        <v/>
      </c>
      <c r="J6" s="25" t="str">
        <f aca="false">IF(Detaljer!Q34="","",Detaljer!Q34)</f>
        <v/>
      </c>
      <c r="K6" s="26" t="str">
        <f aca="false">IF(Detaljer!R34="","",Detaljer!R34)</f>
        <v/>
      </c>
      <c r="L6" s="13" t="n">
        <f aca="false">MAX(Detaljer!L34,Detaljer!N34,Detaljer!P34,Detaljer!R34)-MIN(Detaljer!L34,Detaljer!N34,Detaljer!P34,Detaljer!R34)</f>
        <v>13006.25</v>
      </c>
      <c r="M6" s="27" t="str">
        <f aca="false">Detaljer!S34</f>
        <v>Lyx</v>
      </c>
    </row>
    <row r="7" customFormat="false" ht="15" hidden="false" customHeight="false" outlineLevel="0" collapsed="false">
      <c r="A7" s="10" t="s">
        <v>87</v>
      </c>
      <c r="B7" s="10" t="s">
        <v>49</v>
      </c>
      <c r="C7" s="10" t="n">
        <v>2</v>
      </c>
      <c r="D7" s="19" t="str">
        <f aca="false">IF(Detaljer!K35="","",Detaljer!K35)</f>
        <v>spolplatta Dornbracht Angular (Alt 1)</v>
      </c>
      <c r="E7" s="20" t="n">
        <f aca="false">IF(Detaljer!L35="","",Detaljer!L35)</f>
        <v>4750</v>
      </c>
      <c r="F7" s="21" t="str">
        <f aca="false">IF(Detaljer!M35="","",Detaljer!M35)</f>
        <v>spolplatta Scandtap Style Classic (Alt 2)</v>
      </c>
      <c r="G7" s="22" t="n">
        <f aca="false">IF(Detaljer!N35="","",Detaljer!N35)</f>
        <v>4188.75</v>
      </c>
      <c r="H7" s="23" t="str">
        <f aca="false">IF(Detaljer!O35="","",Detaljer!O35)</f>
        <v/>
      </c>
      <c r="I7" s="24" t="str">
        <f aca="false">IF(Detaljer!P35="","",Detaljer!P35)</f>
        <v/>
      </c>
      <c r="J7" s="25" t="str">
        <f aca="false">IF(Detaljer!Q35="","",Detaljer!Q35)</f>
        <v/>
      </c>
      <c r="K7" s="26" t="str">
        <f aca="false">IF(Detaljer!R35="","",Detaljer!R35)</f>
        <v/>
      </c>
      <c r="L7" s="13" t="n">
        <f aca="false">MAX(Detaljer!L35,Detaljer!N35,Detaljer!P35,Detaljer!R35)-MIN(Detaljer!L35,Detaljer!N35,Detaljer!P35,Detaljer!R35)</f>
        <v>561.25</v>
      </c>
      <c r="M7" s="27" t="str">
        <f aca="false">Detaljer!S35</f>
        <v>Lyx</v>
      </c>
    </row>
    <row r="8" customFormat="false" ht="23.85" hidden="false" customHeight="false" outlineLevel="0" collapsed="false">
      <c r="A8" s="10" t="s">
        <v>88</v>
      </c>
      <c r="B8" s="10" t="s">
        <v>49</v>
      </c>
      <c r="C8" s="10" t="n">
        <v>2</v>
      </c>
      <c r="D8" s="19" t="str">
        <f aca="false">IF(Detaljer!K39="","",Detaljer!K39)</f>
        <v>tvättställsblandare Dornbracht Meta (Alt 1)</v>
      </c>
      <c r="E8" s="20" t="n">
        <f aca="false">IF(Detaljer!L39="","",Detaljer!L39)</f>
        <v>5715</v>
      </c>
      <c r="F8" s="21" t="str">
        <f aca="false">IF(Detaljer!M39="","",Detaljer!M39)</f>
        <v>tvättställsblandare Scandtap Equip Classic (Alt 2)</v>
      </c>
      <c r="G8" s="22" t="n">
        <f aca="false">IF(Detaljer!N39="","",Detaljer!N39)</f>
        <v>4556.25</v>
      </c>
      <c r="H8" s="23" t="str">
        <f aca="false">IF(Detaljer!O39="","",Detaljer!O39)</f>
        <v/>
      </c>
      <c r="I8" s="24" t="str">
        <f aca="false">IF(Detaljer!P39="","",Detaljer!P39)</f>
        <v/>
      </c>
      <c r="J8" s="25" t="str">
        <f aca="false">IF(Detaljer!Q39="","",Detaljer!Q39)</f>
        <v/>
      </c>
      <c r="K8" s="26" t="str">
        <f aca="false">IF(Detaljer!R39="","",Detaljer!R39)</f>
        <v/>
      </c>
      <c r="L8" s="13" t="n">
        <f aca="false">MAX(Detaljer!L39,Detaljer!N39,Detaljer!P39,Detaljer!R39)-MIN(Detaljer!L39,Detaljer!N39,Detaljer!P39,Detaljer!R39)</f>
        <v>1158.75</v>
      </c>
      <c r="M8" s="27" t="str">
        <f aca="false">Detaljer!S39</f>
        <v>Lyx</v>
      </c>
    </row>
    <row r="9" customFormat="false" ht="15" hidden="false" customHeight="false" outlineLevel="0" collapsed="false">
      <c r="A9" s="10" t="s">
        <v>89</v>
      </c>
      <c r="B9" s="10" t="s">
        <v>49</v>
      </c>
      <c r="C9" s="10" t="n">
        <v>2</v>
      </c>
      <c r="D9" s="19" t="str">
        <f aca="false">IF(Detaljer!K40="","",Detaljer!K40)</f>
        <v>spolplatta Dornbracht Angular (Alt 1)</v>
      </c>
      <c r="E9" s="20" t="n">
        <f aca="false">IF(Detaljer!L40="","",Detaljer!L40)</f>
        <v>4750</v>
      </c>
      <c r="F9" s="21" t="str">
        <f aca="false">IF(Detaljer!M40="","",Detaljer!M40)</f>
        <v>spolplatta Scandtap Style Classic (Alt 2)</v>
      </c>
      <c r="G9" s="22" t="n">
        <f aca="false">IF(Detaljer!N40="","",Detaljer!N40)</f>
        <v>4188.75</v>
      </c>
      <c r="H9" s="23" t="str">
        <f aca="false">IF(Detaljer!O40="","",Detaljer!O40)</f>
        <v/>
      </c>
      <c r="I9" s="24" t="str">
        <f aca="false">IF(Detaljer!P40="","",Detaljer!P40)</f>
        <v/>
      </c>
      <c r="J9" s="25" t="str">
        <f aca="false">IF(Detaljer!Q40="","",Detaljer!Q40)</f>
        <v/>
      </c>
      <c r="K9" s="26" t="str">
        <f aca="false">IF(Detaljer!R40="","",Detaljer!R40)</f>
        <v/>
      </c>
      <c r="L9" s="13" t="n">
        <f aca="false">MAX(Detaljer!L40,Detaljer!N40,Detaljer!P40,Detaljer!R40)-MIN(Detaljer!L40,Detaljer!N40,Detaljer!P40,Detaljer!R40)</f>
        <v>561.25</v>
      </c>
      <c r="M9" s="27" t="str">
        <f aca="false">Detaljer!S40</f>
        <v>Lyx</v>
      </c>
    </row>
    <row r="10" customFormat="false" ht="23.85" hidden="false" customHeight="false" outlineLevel="0" collapsed="false">
      <c r="A10" s="10" t="s">
        <v>90</v>
      </c>
      <c r="B10" s="10" t="s">
        <v>49</v>
      </c>
      <c r="C10" s="10" t="n">
        <v>3</v>
      </c>
      <c r="D10" s="19" t="str">
        <f aca="false">IF(Detaljer!K41="","",Detaljer!K41)</f>
        <v>blandare Dornbracht Tara Ultra Pivot (Alt 1)</v>
      </c>
      <c r="E10" s="20" t="n">
        <f aca="false">IF(Detaljer!L41="","",Detaljer!L41)</f>
        <v>12715</v>
      </c>
      <c r="F10" s="21" t="str">
        <f aca="false">IF(Detaljer!M41="","",Detaljer!M41)</f>
        <v>blandare Dornbracht Tara pull-down med dusch (Alt 2)</v>
      </c>
      <c r="G10" s="22" t="n">
        <f aca="false">IF(Detaljer!N41="","",Detaljer!N41)</f>
        <v>9956.25</v>
      </c>
      <c r="H10" s="23" t="str">
        <f aca="false">IF(Detaljer!O41="","",Detaljer!O41)</f>
        <v>blandare Scandtap Equip D Classic (Alt 3)</v>
      </c>
      <c r="I10" s="24" t="n">
        <f aca="false">IF(Detaljer!P41="","",Detaljer!P41)</f>
        <v>5882.5</v>
      </c>
      <c r="J10" s="25" t="str">
        <f aca="false">IF(Detaljer!Q41="","",Detaljer!Q41)</f>
        <v/>
      </c>
      <c r="K10" s="26" t="str">
        <f aca="false">IF(Detaljer!R41="","",Detaljer!R41)</f>
        <v/>
      </c>
      <c r="L10" s="13" t="n">
        <f aca="false">MAX(Detaljer!L41,Detaljer!N41,Detaljer!P41,Detaljer!R41)-MIN(Detaljer!L41,Detaljer!N41,Detaljer!P41,Detaljer!R41)</f>
        <v>6832.5</v>
      </c>
      <c r="M10" s="27" t="str">
        <f aca="false">Detaljer!S41</f>
        <v>Lyx</v>
      </c>
    </row>
    <row r="11" customFormat="false" ht="23.85" hidden="false" customHeight="false" outlineLevel="0" collapsed="false">
      <c r="A11" s="10" t="s">
        <v>91</v>
      </c>
      <c r="B11" s="10" t="s">
        <v>57</v>
      </c>
      <c r="C11" s="10" t="n">
        <v>3</v>
      </c>
      <c r="D11" s="19" t="str">
        <f aca="false">IF(Detaljer!K68="","",Detaljer!K68)</f>
        <v>Brännlyckamarmor (Alt 1)</v>
      </c>
      <c r="E11" s="20" t="n">
        <f aca="false">IF(Detaljer!L68="","",Detaljer!L68)</f>
        <v>600000</v>
      </c>
      <c r="F11" s="21" t="str">
        <f aca="false">IF(Detaljer!M68="","",Detaljer!M68)</f>
        <v>Verde Italia finslipad, inkl. stendetaljer och 1 tvättställ (Alt 2)</v>
      </c>
      <c r="G11" s="22" t="n">
        <f aca="false">IF(Detaljer!N68="","",Detaljer!N68)</f>
        <v>378000</v>
      </c>
      <c r="H11" s="23" t="str">
        <f aca="false">IF(Detaljer!O68="","",Detaljer!O68)</f>
        <v>Bricmate M Kolmården 60×60, cirka 40 m² (Alt 3)</v>
      </c>
      <c r="I11" s="24" t="n">
        <f aca="false">IF(Detaljer!P68="","",Detaljer!P68)</f>
        <v>57250</v>
      </c>
      <c r="J11" s="25" t="str">
        <f aca="false">IF(Detaljer!Q68="","",Detaljer!Q68)</f>
        <v/>
      </c>
      <c r="K11" s="26" t="str">
        <f aca="false">IF(Detaljer!R68="","",Detaljer!R68)</f>
        <v/>
      </c>
      <c r="L11" s="13" t="n">
        <f aca="false">MAX(Detaljer!L68,Detaljer!N68,Detaljer!P68,Detaljer!R68)-MIN(Detaljer!L68,Detaljer!N68,Detaljer!P68,Detaljer!R68)</f>
        <v>542750</v>
      </c>
      <c r="M11" s="27" t="str">
        <f aca="false">Detaljer!S68</f>
        <v>Medium</v>
      </c>
    </row>
    <row r="12" customFormat="false" ht="15" hidden="false" customHeight="false" outlineLevel="0" collapsed="false">
      <c r="A12" s="28" t="s">
        <v>92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30" t="n">
        <f aca="false">SUM(L5:L11)</f>
        <v>566028.75</v>
      </c>
      <c r="M12" s="2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46"/>
    <col collapsed="false" customWidth="true" hidden="false" outlineLevel="0" max="5" min="5" style="0" width="9"/>
    <col collapsed="false" customWidth="true" hidden="false" outlineLevel="0" max="6" min="6" style="0" width="18"/>
    <col collapsed="false" customWidth="true" hidden="false" outlineLevel="0" max="7" min="7" style="0" width="7"/>
    <col collapsed="false" customWidth="true" hidden="false" outlineLevel="0" max="8" min="8" style="0" width="6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26"/>
    <col collapsed="false" customWidth="true" hidden="false" outlineLevel="0" max="12" min="12" style="0" width="11"/>
    <col collapsed="false" customWidth="true" hidden="false" outlineLevel="0" max="13" min="13" style="0" width="26"/>
    <col collapsed="false" customWidth="true" hidden="false" outlineLevel="0" max="14" min="14" style="0" width="11"/>
    <col collapsed="false" customWidth="true" hidden="false" outlineLevel="0" max="15" min="15" style="0" width="26"/>
    <col collapsed="false" customWidth="true" hidden="false" outlineLevel="0" max="16" min="16" style="0" width="11"/>
    <col collapsed="false" customWidth="true" hidden="false" outlineLevel="0" max="17" min="17" style="0" width="14"/>
    <col collapsed="false" customWidth="true" hidden="false" outlineLevel="0" max="18" min="18" style="0" width="10"/>
    <col collapsed="false" customWidth="true" hidden="false" outlineLevel="0" max="19" min="19" style="0" width="11"/>
    <col collapsed="false" customWidth="true" hidden="false" outlineLevel="0" max="24" min="20" style="0" width="13"/>
  </cols>
  <sheetData>
    <row r="1" customFormat="false" ht="17.35" hidden="false" customHeight="false" outlineLevel="0" collapsed="false">
      <c r="A1" s="1" t="s">
        <v>93</v>
      </c>
    </row>
    <row r="2" customFormat="false" ht="15" hidden="false" customHeight="false" outlineLevel="0" collapsed="false">
      <c r="A2" s="2" t="s">
        <v>94</v>
      </c>
    </row>
    <row r="3" customFormat="false" ht="15" hidden="false" customHeight="false" outlineLevel="0" collapsed="false">
      <c r="A3" s="2" t="s">
        <v>95</v>
      </c>
    </row>
    <row r="4" customFormat="false" ht="30" hidden="false" customHeight="true" outlineLevel="0" collapsed="false">
      <c r="A4" s="5" t="s">
        <v>4</v>
      </c>
      <c r="B4" s="5" t="s">
        <v>5</v>
      </c>
      <c r="C4" s="5" t="s">
        <v>96</v>
      </c>
      <c r="D4" s="5" t="s">
        <v>97</v>
      </c>
      <c r="E4" s="5" t="s">
        <v>98</v>
      </c>
      <c r="F4" s="5" t="s">
        <v>99</v>
      </c>
      <c r="G4" s="5" t="s">
        <v>100</v>
      </c>
      <c r="H4" s="5" t="s">
        <v>101</v>
      </c>
      <c r="I4" s="5" t="s">
        <v>102</v>
      </c>
      <c r="J4" s="5" t="s">
        <v>103</v>
      </c>
      <c r="K4" s="5" t="s">
        <v>75</v>
      </c>
      <c r="L4" s="5" t="s">
        <v>76</v>
      </c>
      <c r="M4" s="5" t="s">
        <v>77</v>
      </c>
      <c r="N4" s="5" t="s">
        <v>78</v>
      </c>
      <c r="O4" s="5" t="s">
        <v>79</v>
      </c>
      <c r="P4" s="5" t="s">
        <v>80</v>
      </c>
      <c r="Q4" s="5" t="s">
        <v>81</v>
      </c>
      <c r="R4" s="5" t="s">
        <v>82</v>
      </c>
      <c r="S4" s="5" t="s">
        <v>104</v>
      </c>
      <c r="T4" s="5" t="s">
        <v>105</v>
      </c>
      <c r="U4" s="5" t="s">
        <v>106</v>
      </c>
      <c r="V4" s="5" t="s">
        <v>107</v>
      </c>
      <c r="W4" s="5" t="s">
        <v>108</v>
      </c>
      <c r="X4" s="5" t="s">
        <v>109</v>
      </c>
    </row>
    <row r="5" customFormat="false" ht="15" hidden="false" customHeight="false" outlineLevel="0" collapsed="false">
      <c r="A5" s="31" t="s">
        <v>20</v>
      </c>
      <c r="B5" s="31" t="s">
        <v>21</v>
      </c>
      <c r="C5" s="32"/>
      <c r="D5" s="32"/>
      <c r="E5" s="33"/>
      <c r="F5" s="33"/>
      <c r="G5" s="33"/>
      <c r="H5" s="33"/>
      <c r="I5" s="33"/>
      <c r="J5" s="34"/>
      <c r="K5" s="32"/>
      <c r="L5" s="34"/>
      <c r="M5" s="32"/>
      <c r="N5" s="34"/>
      <c r="O5" s="32"/>
      <c r="P5" s="34"/>
      <c r="Q5" s="32"/>
      <c r="R5" s="34"/>
      <c r="S5" s="33"/>
      <c r="T5" s="34"/>
      <c r="U5" s="34"/>
      <c r="V5" s="34"/>
      <c r="W5" s="34"/>
      <c r="X5" s="34"/>
    </row>
    <row r="6" customFormat="false" ht="15" hidden="false" customHeight="false" outlineLevel="0" collapsed="false">
      <c r="A6" s="10" t="s">
        <v>20</v>
      </c>
      <c r="B6" s="10" t="s">
        <v>21</v>
      </c>
      <c r="C6" s="35" t="s">
        <v>110</v>
      </c>
      <c r="D6" s="35"/>
      <c r="E6" s="10" t="s">
        <v>111</v>
      </c>
      <c r="F6" s="10" t="s">
        <v>112</v>
      </c>
      <c r="G6" s="36" t="n">
        <v>32</v>
      </c>
      <c r="H6" s="10" t="s">
        <v>113</v>
      </c>
      <c r="I6" s="37" t="n">
        <v>650</v>
      </c>
      <c r="J6" s="13" t="n">
        <f aca="false">G6*I6</f>
        <v>20800</v>
      </c>
      <c r="K6" s="38" t="s">
        <v>114</v>
      </c>
      <c r="L6" s="39" t="n">
        <f aca="false">J6</f>
        <v>20800</v>
      </c>
      <c r="M6" s="40"/>
      <c r="N6" s="41"/>
      <c r="O6" s="42"/>
      <c r="P6" s="43"/>
      <c r="Q6" s="44"/>
      <c r="R6" s="45"/>
      <c r="S6" s="46" t="s">
        <v>115</v>
      </c>
      <c r="T6" s="13" t="n">
        <f aca="false">L6</f>
        <v>20800</v>
      </c>
      <c r="U6" s="13" t="n">
        <f aca="false">IF(N6&lt;&gt;"",N6,T6)</f>
        <v>20800</v>
      </c>
      <c r="V6" s="13" t="n">
        <f aca="false">IF(P6&lt;&gt;"",P6,U6)</f>
        <v>20800</v>
      </c>
      <c r="W6" s="13" t="n">
        <f aca="false">IF(R6&lt;&gt;"",R6,V6)</f>
        <v>20800</v>
      </c>
      <c r="X6" s="13" t="n">
        <f aca="false">IFERROR(INDEX(T6:W6,MATCH(S6,{"Lyx","Premium","Medium","Basic"},0)),T6)</f>
        <v>20800</v>
      </c>
    </row>
    <row r="7" customFormat="false" ht="23.85" hidden="false" customHeight="false" outlineLevel="0" collapsed="false">
      <c r="A7" s="10" t="s">
        <v>20</v>
      </c>
      <c r="B7" s="10" t="s">
        <v>21</v>
      </c>
      <c r="C7" s="35" t="s">
        <v>116</v>
      </c>
      <c r="D7" s="35" t="s">
        <v>117</v>
      </c>
      <c r="E7" s="10" t="s">
        <v>118</v>
      </c>
      <c r="F7" s="10" t="s">
        <v>112</v>
      </c>
      <c r="G7" s="10"/>
      <c r="H7" s="10"/>
      <c r="I7" s="10"/>
      <c r="J7" s="11" t="n">
        <v>177950</v>
      </c>
      <c r="K7" s="38" t="s">
        <v>114</v>
      </c>
      <c r="L7" s="39" t="n">
        <f aca="false">J7</f>
        <v>177950</v>
      </c>
      <c r="M7" s="40"/>
      <c r="N7" s="41"/>
      <c r="O7" s="42"/>
      <c r="P7" s="43"/>
      <c r="Q7" s="44"/>
      <c r="R7" s="45"/>
      <c r="S7" s="46" t="s">
        <v>115</v>
      </c>
      <c r="T7" s="13" t="n">
        <f aca="false">L7</f>
        <v>177950</v>
      </c>
      <c r="U7" s="13" t="n">
        <f aca="false">IF(N7&lt;&gt;"",N7,T7)</f>
        <v>177950</v>
      </c>
      <c r="V7" s="13" t="n">
        <f aca="false">IF(P7&lt;&gt;"",P7,U7)</f>
        <v>177950</v>
      </c>
      <c r="W7" s="13" t="n">
        <f aca="false">IF(R7&lt;&gt;"",R7,V7)</f>
        <v>177950</v>
      </c>
      <c r="X7" s="13" t="n">
        <f aca="false">IFERROR(INDEX(T7:W7,MATCH(S7,{"Lyx","Premium","Medium","Basic"},0)),T7)</f>
        <v>177950</v>
      </c>
    </row>
    <row r="8" customFormat="false" ht="15" hidden="false" customHeight="false" outlineLevel="0" collapsed="false">
      <c r="A8" s="31" t="s">
        <v>22</v>
      </c>
      <c r="B8" s="31" t="s">
        <v>23</v>
      </c>
      <c r="C8" s="32"/>
      <c r="D8" s="32"/>
      <c r="E8" s="33"/>
      <c r="F8" s="33"/>
      <c r="G8" s="33"/>
      <c r="H8" s="33"/>
      <c r="I8" s="33"/>
      <c r="J8" s="34"/>
      <c r="K8" s="32"/>
      <c r="L8" s="34"/>
      <c r="M8" s="32"/>
      <c r="N8" s="34"/>
      <c r="O8" s="32"/>
      <c r="P8" s="34"/>
      <c r="Q8" s="32"/>
      <c r="R8" s="34"/>
      <c r="S8" s="33"/>
      <c r="T8" s="34"/>
      <c r="U8" s="34"/>
      <c r="V8" s="34"/>
      <c r="W8" s="34"/>
      <c r="X8" s="34"/>
    </row>
    <row r="9" customFormat="false" ht="46.25" hidden="false" customHeight="false" outlineLevel="0" collapsed="false">
      <c r="A9" s="10" t="s">
        <v>22</v>
      </c>
      <c r="B9" s="10" t="s">
        <v>23</v>
      </c>
      <c r="C9" s="35" t="s">
        <v>119</v>
      </c>
      <c r="D9" s="35" t="s">
        <v>120</v>
      </c>
      <c r="E9" s="10" t="s">
        <v>118</v>
      </c>
      <c r="F9" s="10" t="s">
        <v>112</v>
      </c>
      <c r="G9" s="10"/>
      <c r="H9" s="10"/>
      <c r="I9" s="10"/>
      <c r="J9" s="11" t="n">
        <v>387500</v>
      </c>
      <c r="K9" s="38" t="s">
        <v>114</v>
      </c>
      <c r="L9" s="39" t="n">
        <f aca="false">J9</f>
        <v>387500</v>
      </c>
      <c r="M9" s="40"/>
      <c r="N9" s="41"/>
      <c r="O9" s="42"/>
      <c r="P9" s="43"/>
      <c r="Q9" s="44"/>
      <c r="R9" s="45"/>
      <c r="S9" s="46" t="s">
        <v>115</v>
      </c>
      <c r="T9" s="13" t="n">
        <f aca="false">L9</f>
        <v>387500</v>
      </c>
      <c r="U9" s="13" t="n">
        <f aca="false">IF(N9&lt;&gt;"",N9,T9)</f>
        <v>387500</v>
      </c>
      <c r="V9" s="13" t="n">
        <f aca="false">IF(P9&lt;&gt;"",P9,U9)</f>
        <v>387500</v>
      </c>
      <c r="W9" s="13" t="n">
        <f aca="false">IF(R9&lt;&gt;"",R9,V9)</f>
        <v>387500</v>
      </c>
      <c r="X9" s="13" t="n">
        <f aca="false">IFERROR(INDEX(T9:W9,MATCH(S9,{"Lyx","Premium","Medium","Basic"},0)),T9)</f>
        <v>387500</v>
      </c>
    </row>
    <row r="10" customFormat="false" ht="15" hidden="false" customHeight="false" outlineLevel="0" collapsed="false">
      <c r="A10" s="31" t="s">
        <v>24</v>
      </c>
      <c r="B10" s="31" t="s">
        <v>25</v>
      </c>
      <c r="C10" s="32"/>
      <c r="D10" s="32"/>
      <c r="E10" s="33"/>
      <c r="F10" s="33"/>
      <c r="G10" s="33"/>
      <c r="H10" s="33"/>
      <c r="I10" s="33"/>
      <c r="J10" s="34"/>
      <c r="K10" s="32"/>
      <c r="L10" s="34"/>
      <c r="M10" s="32"/>
      <c r="N10" s="34"/>
      <c r="O10" s="32"/>
      <c r="P10" s="34"/>
      <c r="Q10" s="32"/>
      <c r="R10" s="34"/>
      <c r="S10" s="33"/>
      <c r="T10" s="34"/>
      <c r="U10" s="34"/>
      <c r="V10" s="34"/>
      <c r="W10" s="34"/>
      <c r="X10" s="34"/>
    </row>
    <row r="11" customFormat="false" ht="15" hidden="false" customHeight="false" outlineLevel="0" collapsed="false">
      <c r="A11" s="10" t="s">
        <v>24</v>
      </c>
      <c r="B11" s="10" t="s">
        <v>25</v>
      </c>
      <c r="C11" s="35" t="s">
        <v>121</v>
      </c>
      <c r="D11" s="35"/>
      <c r="E11" s="10" t="s">
        <v>111</v>
      </c>
      <c r="F11" s="10" t="s">
        <v>112</v>
      </c>
      <c r="G11" s="36" t="n">
        <v>32</v>
      </c>
      <c r="H11" s="10" t="s">
        <v>113</v>
      </c>
      <c r="I11" s="37" t="n">
        <v>650</v>
      </c>
      <c r="J11" s="13" t="n">
        <f aca="false">G11*I11</f>
        <v>20800</v>
      </c>
      <c r="K11" s="38" t="s">
        <v>114</v>
      </c>
      <c r="L11" s="39" t="n">
        <f aca="false">J11</f>
        <v>20800</v>
      </c>
      <c r="M11" s="40"/>
      <c r="N11" s="41"/>
      <c r="O11" s="42"/>
      <c r="P11" s="43"/>
      <c r="Q11" s="44"/>
      <c r="R11" s="45"/>
      <c r="S11" s="46" t="s">
        <v>115</v>
      </c>
      <c r="T11" s="13" t="n">
        <f aca="false">L11</f>
        <v>20800</v>
      </c>
      <c r="U11" s="13" t="n">
        <f aca="false">IF(N11&lt;&gt;"",N11,T11)</f>
        <v>20800</v>
      </c>
      <c r="V11" s="13" t="n">
        <f aca="false">IF(P11&lt;&gt;"",P11,U11)</f>
        <v>20800</v>
      </c>
      <c r="W11" s="13" t="n">
        <f aca="false">IF(R11&lt;&gt;"",R11,V11)</f>
        <v>20800</v>
      </c>
      <c r="X11" s="13" t="n">
        <f aca="false">IFERROR(INDEX(T11:W11,MATCH(S11,{"Lyx","Premium","Medium","Basic"},0)),T11)</f>
        <v>20800</v>
      </c>
    </row>
    <row r="12" customFormat="false" ht="23.85" hidden="false" customHeight="false" outlineLevel="0" collapsed="false">
      <c r="A12" s="10" t="s">
        <v>24</v>
      </c>
      <c r="B12" s="10" t="s">
        <v>25</v>
      </c>
      <c r="C12" s="35" t="s">
        <v>122</v>
      </c>
      <c r="D12" s="35" t="s">
        <v>117</v>
      </c>
      <c r="E12" s="10" t="s">
        <v>118</v>
      </c>
      <c r="F12" s="10" t="s">
        <v>112</v>
      </c>
      <c r="G12" s="10"/>
      <c r="H12" s="10"/>
      <c r="I12" s="10"/>
      <c r="J12" s="11" t="n">
        <v>344200</v>
      </c>
      <c r="K12" s="38" t="s">
        <v>114</v>
      </c>
      <c r="L12" s="39" t="n">
        <f aca="false">J12</f>
        <v>344200</v>
      </c>
      <c r="M12" s="40"/>
      <c r="N12" s="41"/>
      <c r="O12" s="42"/>
      <c r="P12" s="43"/>
      <c r="Q12" s="44"/>
      <c r="R12" s="45"/>
      <c r="S12" s="46" t="s">
        <v>115</v>
      </c>
      <c r="T12" s="13" t="n">
        <f aca="false">L12</f>
        <v>344200</v>
      </c>
      <c r="U12" s="13" t="n">
        <f aca="false">IF(N12&lt;&gt;"",N12,T12)</f>
        <v>344200</v>
      </c>
      <c r="V12" s="13" t="n">
        <f aca="false">IF(P12&lt;&gt;"",P12,U12)</f>
        <v>344200</v>
      </c>
      <c r="W12" s="13" t="n">
        <f aca="false">IF(R12&lt;&gt;"",R12,V12)</f>
        <v>344200</v>
      </c>
      <c r="X12" s="13" t="n">
        <f aca="false">IFERROR(INDEX(T12:W12,MATCH(S12,{"Lyx","Premium","Medium","Basic"},0)),T12)</f>
        <v>344200</v>
      </c>
    </row>
    <row r="13" customFormat="false" ht="15" hidden="false" customHeight="false" outlineLevel="0" collapsed="false">
      <c r="A13" s="31" t="s">
        <v>26</v>
      </c>
      <c r="B13" s="31" t="s">
        <v>27</v>
      </c>
      <c r="C13" s="32"/>
      <c r="D13" s="32"/>
      <c r="E13" s="33"/>
      <c r="F13" s="33"/>
      <c r="G13" s="33"/>
      <c r="H13" s="33"/>
      <c r="I13" s="33"/>
      <c r="J13" s="34"/>
      <c r="K13" s="32"/>
      <c r="L13" s="34"/>
      <c r="M13" s="32"/>
      <c r="N13" s="34"/>
      <c r="O13" s="32"/>
      <c r="P13" s="34"/>
      <c r="Q13" s="32"/>
      <c r="R13" s="34"/>
      <c r="S13" s="33"/>
      <c r="T13" s="34"/>
      <c r="U13" s="34"/>
      <c r="V13" s="34"/>
      <c r="W13" s="34"/>
      <c r="X13" s="34"/>
    </row>
    <row r="14" customFormat="false" ht="35.05" hidden="false" customHeight="false" outlineLevel="0" collapsed="false">
      <c r="A14" s="10" t="s">
        <v>26</v>
      </c>
      <c r="B14" s="10" t="s">
        <v>27</v>
      </c>
      <c r="C14" s="35" t="s">
        <v>123</v>
      </c>
      <c r="D14" s="35" t="s">
        <v>124</v>
      </c>
      <c r="E14" s="10" t="s">
        <v>118</v>
      </c>
      <c r="F14" s="10" t="s">
        <v>125</v>
      </c>
      <c r="G14" s="10"/>
      <c r="H14" s="10"/>
      <c r="I14" s="10"/>
      <c r="J14" s="11" t="n">
        <v>202500</v>
      </c>
      <c r="K14" s="38" t="s">
        <v>114</v>
      </c>
      <c r="L14" s="39" t="n">
        <f aca="false">J14</f>
        <v>202500</v>
      </c>
      <c r="M14" s="40"/>
      <c r="N14" s="41"/>
      <c r="O14" s="42"/>
      <c r="P14" s="43"/>
      <c r="Q14" s="44"/>
      <c r="R14" s="45"/>
      <c r="S14" s="46" t="s">
        <v>115</v>
      </c>
      <c r="T14" s="13" t="n">
        <f aca="false">L14</f>
        <v>202500</v>
      </c>
      <c r="U14" s="13" t="n">
        <f aca="false">IF(N14&lt;&gt;"",N14,T14)</f>
        <v>202500</v>
      </c>
      <c r="V14" s="13" t="n">
        <f aca="false">IF(P14&lt;&gt;"",P14,U14)</f>
        <v>202500</v>
      </c>
      <c r="W14" s="13" t="n">
        <f aca="false">IF(R14&lt;&gt;"",R14,V14)</f>
        <v>202500</v>
      </c>
      <c r="X14" s="13" t="n">
        <f aca="false">IFERROR(INDEX(T14:W14,MATCH(S14,{"Lyx","Premium","Medium","Basic"},0)),T14)</f>
        <v>202500</v>
      </c>
    </row>
    <row r="15" customFormat="false" ht="15" hidden="false" customHeight="false" outlineLevel="0" collapsed="false">
      <c r="A15" s="31" t="s">
        <v>28</v>
      </c>
      <c r="B15" s="31" t="s">
        <v>29</v>
      </c>
      <c r="C15" s="32"/>
      <c r="D15" s="32"/>
      <c r="E15" s="33"/>
      <c r="F15" s="33"/>
      <c r="G15" s="33"/>
      <c r="H15" s="33"/>
      <c r="I15" s="33"/>
      <c r="J15" s="34"/>
      <c r="K15" s="32"/>
      <c r="L15" s="34"/>
      <c r="M15" s="32"/>
      <c r="N15" s="34"/>
      <c r="O15" s="32"/>
      <c r="P15" s="34"/>
      <c r="Q15" s="32"/>
      <c r="R15" s="34"/>
      <c r="S15" s="33"/>
      <c r="T15" s="34"/>
      <c r="U15" s="34"/>
      <c r="V15" s="34"/>
      <c r="W15" s="34"/>
      <c r="X15" s="34"/>
    </row>
    <row r="16" customFormat="false" ht="23.85" hidden="false" customHeight="false" outlineLevel="0" collapsed="false">
      <c r="A16" s="10" t="s">
        <v>28</v>
      </c>
      <c r="B16" s="10" t="s">
        <v>29</v>
      </c>
      <c r="C16" s="35" t="s">
        <v>126</v>
      </c>
      <c r="D16" s="35" t="s">
        <v>127</v>
      </c>
      <c r="E16" s="10" t="s">
        <v>118</v>
      </c>
      <c r="F16" s="10" t="s">
        <v>128</v>
      </c>
      <c r="G16" s="10"/>
      <c r="H16" s="10"/>
      <c r="I16" s="10"/>
      <c r="J16" s="11" t="n">
        <v>140000</v>
      </c>
      <c r="K16" s="38" t="s">
        <v>114</v>
      </c>
      <c r="L16" s="39" t="n">
        <f aca="false">J16</f>
        <v>140000</v>
      </c>
      <c r="M16" s="40"/>
      <c r="N16" s="41"/>
      <c r="O16" s="42"/>
      <c r="P16" s="43"/>
      <c r="Q16" s="44"/>
      <c r="R16" s="45"/>
      <c r="S16" s="46" t="s">
        <v>115</v>
      </c>
      <c r="T16" s="13" t="n">
        <f aca="false">L16</f>
        <v>140000</v>
      </c>
      <c r="U16" s="13" t="n">
        <f aca="false">IF(N16&lt;&gt;"",N16,T16)</f>
        <v>140000</v>
      </c>
      <c r="V16" s="13" t="n">
        <f aca="false">IF(P16&lt;&gt;"",P16,U16)</f>
        <v>140000</v>
      </c>
      <c r="W16" s="13" t="n">
        <f aca="false">IF(R16&lt;&gt;"",R16,V16)</f>
        <v>140000</v>
      </c>
      <c r="X16" s="13" t="n">
        <f aca="false">IFERROR(INDEX(T16:W16,MATCH(S16,{"Lyx","Premium","Medium","Basic"},0)),T16)</f>
        <v>140000</v>
      </c>
    </row>
    <row r="17" customFormat="false" ht="15" hidden="false" customHeight="false" outlineLevel="0" collapsed="false">
      <c r="A17" s="31" t="s">
        <v>30</v>
      </c>
      <c r="B17" s="31" t="s">
        <v>31</v>
      </c>
      <c r="C17" s="32"/>
      <c r="D17" s="32"/>
      <c r="E17" s="33"/>
      <c r="F17" s="33"/>
      <c r="G17" s="33"/>
      <c r="H17" s="33"/>
      <c r="I17" s="33"/>
      <c r="J17" s="34"/>
      <c r="K17" s="32"/>
      <c r="L17" s="34"/>
      <c r="M17" s="32"/>
      <c r="N17" s="34"/>
      <c r="O17" s="32"/>
      <c r="P17" s="34"/>
      <c r="Q17" s="32"/>
      <c r="R17" s="34"/>
      <c r="S17" s="33"/>
      <c r="T17" s="34"/>
      <c r="U17" s="34"/>
      <c r="V17" s="34"/>
      <c r="W17" s="34"/>
      <c r="X17" s="34"/>
    </row>
    <row r="18" customFormat="false" ht="35.05" hidden="false" customHeight="false" outlineLevel="0" collapsed="false">
      <c r="A18" s="10" t="s">
        <v>30</v>
      </c>
      <c r="B18" s="10" t="s">
        <v>31</v>
      </c>
      <c r="C18" s="35" t="s">
        <v>129</v>
      </c>
      <c r="D18" s="35" t="s">
        <v>130</v>
      </c>
      <c r="E18" s="10" t="s">
        <v>118</v>
      </c>
      <c r="F18" s="10" t="s">
        <v>112</v>
      </c>
      <c r="G18" s="10"/>
      <c r="H18" s="10"/>
      <c r="I18" s="10"/>
      <c r="J18" s="11" t="n">
        <v>314250</v>
      </c>
      <c r="K18" s="38" t="s">
        <v>114</v>
      </c>
      <c r="L18" s="39" t="n">
        <f aca="false">J18</f>
        <v>314250</v>
      </c>
      <c r="M18" s="40"/>
      <c r="N18" s="41"/>
      <c r="O18" s="42"/>
      <c r="P18" s="43"/>
      <c r="Q18" s="44"/>
      <c r="R18" s="45"/>
      <c r="S18" s="46" t="s">
        <v>115</v>
      </c>
      <c r="T18" s="13" t="n">
        <f aca="false">L18</f>
        <v>314250</v>
      </c>
      <c r="U18" s="13" t="n">
        <f aca="false">IF(N18&lt;&gt;"",N18,T18)</f>
        <v>314250</v>
      </c>
      <c r="V18" s="13" t="n">
        <f aca="false">IF(P18&lt;&gt;"",P18,U18)</f>
        <v>314250</v>
      </c>
      <c r="W18" s="13" t="n">
        <f aca="false">IF(R18&lt;&gt;"",R18,V18)</f>
        <v>314250</v>
      </c>
      <c r="X18" s="13" t="n">
        <f aca="false">IFERROR(INDEX(T18:W18,MATCH(S18,{"Lyx","Premium","Medium","Basic"},0)),T18)</f>
        <v>314250</v>
      </c>
    </row>
    <row r="19" customFormat="false" ht="15" hidden="false" customHeight="false" outlineLevel="0" collapsed="false">
      <c r="A19" s="31" t="s">
        <v>32</v>
      </c>
      <c r="B19" s="31" t="s">
        <v>33</v>
      </c>
      <c r="C19" s="32"/>
      <c r="D19" s="32"/>
      <c r="E19" s="33"/>
      <c r="F19" s="33"/>
      <c r="G19" s="33"/>
      <c r="H19" s="33"/>
      <c r="I19" s="33"/>
      <c r="J19" s="34"/>
      <c r="K19" s="32"/>
      <c r="L19" s="34"/>
      <c r="M19" s="32"/>
      <c r="N19" s="34"/>
      <c r="O19" s="32"/>
      <c r="P19" s="34"/>
      <c r="Q19" s="32"/>
      <c r="R19" s="34"/>
      <c r="S19" s="33"/>
      <c r="T19" s="34"/>
      <c r="U19" s="34"/>
      <c r="V19" s="34"/>
      <c r="W19" s="34"/>
      <c r="X19" s="34"/>
    </row>
    <row r="20" customFormat="false" ht="23.85" hidden="false" customHeight="false" outlineLevel="0" collapsed="false">
      <c r="A20" s="10" t="s">
        <v>32</v>
      </c>
      <c r="B20" s="10" t="s">
        <v>33</v>
      </c>
      <c r="C20" s="35" t="s">
        <v>131</v>
      </c>
      <c r="D20" s="35" t="s">
        <v>132</v>
      </c>
      <c r="E20" s="10" t="s">
        <v>118</v>
      </c>
      <c r="F20" s="10" t="s">
        <v>133</v>
      </c>
      <c r="G20" s="10"/>
      <c r="H20" s="10"/>
      <c r="I20" s="10"/>
      <c r="J20" s="11" t="n">
        <v>85875</v>
      </c>
      <c r="K20" s="38" t="s">
        <v>114</v>
      </c>
      <c r="L20" s="39" t="n">
        <f aca="false">J20</f>
        <v>85875</v>
      </c>
      <c r="M20" s="40"/>
      <c r="N20" s="41"/>
      <c r="O20" s="42"/>
      <c r="P20" s="43"/>
      <c r="Q20" s="44"/>
      <c r="R20" s="45"/>
      <c r="S20" s="46" t="s">
        <v>115</v>
      </c>
      <c r="T20" s="13" t="n">
        <f aca="false">L20</f>
        <v>85875</v>
      </c>
      <c r="U20" s="13" t="n">
        <f aca="false">IF(N20&lt;&gt;"",N20,T20)</f>
        <v>85875</v>
      </c>
      <c r="V20" s="13" t="n">
        <f aca="false">IF(P20&lt;&gt;"",P20,U20)</f>
        <v>85875</v>
      </c>
      <c r="W20" s="13" t="n">
        <f aca="false">IF(R20&lt;&gt;"",R20,V20)</f>
        <v>85875</v>
      </c>
      <c r="X20" s="13" t="n">
        <f aca="false">IFERROR(INDEX(T20:W20,MATCH(S20,{"Lyx","Premium","Medium","Basic"},0)),T20)</f>
        <v>85875</v>
      </c>
    </row>
    <row r="21" customFormat="false" ht="15" hidden="false" customHeight="false" outlineLevel="0" collapsed="false">
      <c r="A21" s="31" t="s">
        <v>34</v>
      </c>
      <c r="B21" s="31" t="s">
        <v>35</v>
      </c>
      <c r="C21" s="32"/>
      <c r="D21" s="32"/>
      <c r="E21" s="33"/>
      <c r="F21" s="33"/>
      <c r="G21" s="33"/>
      <c r="H21" s="33"/>
      <c r="I21" s="33"/>
      <c r="J21" s="34"/>
      <c r="K21" s="32"/>
      <c r="L21" s="34"/>
      <c r="M21" s="32"/>
      <c r="N21" s="34"/>
      <c r="O21" s="32"/>
      <c r="P21" s="34"/>
      <c r="Q21" s="32"/>
      <c r="R21" s="34"/>
      <c r="S21" s="33"/>
      <c r="T21" s="34"/>
      <c r="U21" s="34"/>
      <c r="V21" s="34"/>
      <c r="W21" s="34"/>
      <c r="X21" s="34"/>
    </row>
    <row r="22" customFormat="false" ht="15" hidden="false" customHeight="false" outlineLevel="0" collapsed="false">
      <c r="A22" s="10" t="s">
        <v>34</v>
      </c>
      <c r="B22" s="10" t="s">
        <v>35</v>
      </c>
      <c r="C22" s="35" t="s">
        <v>134</v>
      </c>
      <c r="D22" s="35" t="s">
        <v>135</v>
      </c>
      <c r="E22" s="10" t="s">
        <v>118</v>
      </c>
      <c r="F22" s="10" t="s">
        <v>112</v>
      </c>
      <c r="G22" s="10"/>
      <c r="H22" s="10"/>
      <c r="I22" s="10"/>
      <c r="J22" s="11" t="n">
        <v>70000</v>
      </c>
      <c r="K22" s="38" t="s">
        <v>114</v>
      </c>
      <c r="L22" s="39" t="n">
        <f aca="false">J22</f>
        <v>70000</v>
      </c>
      <c r="M22" s="40"/>
      <c r="N22" s="41"/>
      <c r="O22" s="42"/>
      <c r="P22" s="43"/>
      <c r="Q22" s="44"/>
      <c r="R22" s="45"/>
      <c r="S22" s="46" t="s">
        <v>115</v>
      </c>
      <c r="T22" s="13" t="n">
        <f aca="false">L22</f>
        <v>70000</v>
      </c>
      <c r="U22" s="13" t="n">
        <f aca="false">IF(N22&lt;&gt;"",N22,T22)</f>
        <v>70000</v>
      </c>
      <c r="V22" s="13" t="n">
        <f aca="false">IF(P22&lt;&gt;"",P22,U22)</f>
        <v>70000</v>
      </c>
      <c r="W22" s="13" t="n">
        <f aca="false">IF(R22&lt;&gt;"",R22,V22)</f>
        <v>70000</v>
      </c>
      <c r="X22" s="13" t="n">
        <f aca="false">IFERROR(INDEX(T22:W22,MATCH(S22,{"Lyx","Premium","Medium","Basic"},0)),T22)</f>
        <v>70000</v>
      </c>
    </row>
    <row r="23" customFormat="false" ht="15" hidden="false" customHeight="false" outlineLevel="0" collapsed="false">
      <c r="A23" s="31" t="s">
        <v>36</v>
      </c>
      <c r="B23" s="31" t="s">
        <v>37</v>
      </c>
      <c r="C23" s="32"/>
      <c r="D23" s="32"/>
      <c r="E23" s="33"/>
      <c r="F23" s="33"/>
      <c r="G23" s="33"/>
      <c r="H23" s="33"/>
      <c r="I23" s="33"/>
      <c r="J23" s="34"/>
      <c r="K23" s="32"/>
      <c r="L23" s="34"/>
      <c r="M23" s="32"/>
      <c r="N23" s="34"/>
      <c r="O23" s="32"/>
      <c r="P23" s="34"/>
      <c r="Q23" s="32"/>
      <c r="R23" s="34"/>
      <c r="S23" s="33"/>
      <c r="T23" s="34"/>
      <c r="U23" s="34"/>
      <c r="V23" s="34"/>
      <c r="W23" s="34"/>
      <c r="X23" s="34"/>
    </row>
    <row r="24" customFormat="false" ht="15" hidden="false" customHeight="false" outlineLevel="0" collapsed="false">
      <c r="A24" s="10" t="s">
        <v>36</v>
      </c>
      <c r="B24" s="10" t="s">
        <v>37</v>
      </c>
      <c r="C24" s="35" t="s">
        <v>136</v>
      </c>
      <c r="D24" s="35" t="s">
        <v>135</v>
      </c>
      <c r="E24" s="10" t="s">
        <v>118</v>
      </c>
      <c r="F24" s="10" t="s">
        <v>128</v>
      </c>
      <c r="G24" s="10"/>
      <c r="H24" s="10"/>
      <c r="I24" s="10"/>
      <c r="J24" s="11" t="n">
        <v>28750</v>
      </c>
      <c r="K24" s="38" t="s">
        <v>114</v>
      </c>
      <c r="L24" s="39" t="n">
        <f aca="false">J24</f>
        <v>28750</v>
      </c>
      <c r="M24" s="40"/>
      <c r="N24" s="41"/>
      <c r="O24" s="42"/>
      <c r="P24" s="43"/>
      <c r="Q24" s="44"/>
      <c r="R24" s="45"/>
      <c r="S24" s="46" t="s">
        <v>115</v>
      </c>
      <c r="T24" s="13" t="n">
        <f aca="false">L24</f>
        <v>28750</v>
      </c>
      <c r="U24" s="13" t="n">
        <f aca="false">IF(N24&lt;&gt;"",N24,T24)</f>
        <v>28750</v>
      </c>
      <c r="V24" s="13" t="n">
        <f aca="false">IF(P24&lt;&gt;"",P24,U24)</f>
        <v>28750</v>
      </c>
      <c r="W24" s="13" t="n">
        <f aca="false">IF(R24&lt;&gt;"",R24,V24)</f>
        <v>28750</v>
      </c>
      <c r="X24" s="13" t="n">
        <f aca="false">IFERROR(INDEX(T24:W24,MATCH(S24,{"Lyx","Premium","Medium","Basic"},0)),T24)</f>
        <v>28750</v>
      </c>
    </row>
    <row r="25" customFormat="false" ht="15" hidden="false" customHeight="false" outlineLevel="0" collapsed="false">
      <c r="A25" s="31" t="s">
        <v>38</v>
      </c>
      <c r="B25" s="31" t="s">
        <v>39</v>
      </c>
      <c r="C25" s="32"/>
      <c r="D25" s="32"/>
      <c r="E25" s="33"/>
      <c r="F25" s="33"/>
      <c r="G25" s="33"/>
      <c r="H25" s="33"/>
      <c r="I25" s="33"/>
      <c r="J25" s="34"/>
      <c r="K25" s="32"/>
      <c r="L25" s="34"/>
      <c r="M25" s="32"/>
      <c r="N25" s="34"/>
      <c r="O25" s="32"/>
      <c r="P25" s="34"/>
      <c r="Q25" s="32"/>
      <c r="R25" s="34"/>
      <c r="S25" s="33"/>
      <c r="T25" s="34"/>
      <c r="U25" s="34"/>
      <c r="V25" s="34"/>
      <c r="W25" s="34"/>
      <c r="X25" s="34"/>
    </row>
    <row r="26" customFormat="false" ht="23.85" hidden="false" customHeight="false" outlineLevel="0" collapsed="false">
      <c r="A26" s="10" t="s">
        <v>38</v>
      </c>
      <c r="B26" s="10" t="s">
        <v>39</v>
      </c>
      <c r="C26" s="35" t="s">
        <v>137</v>
      </c>
      <c r="D26" s="35" t="s">
        <v>138</v>
      </c>
      <c r="E26" s="10" t="s">
        <v>118</v>
      </c>
      <c r="F26" s="10" t="s">
        <v>112</v>
      </c>
      <c r="G26" s="10"/>
      <c r="H26" s="10"/>
      <c r="I26" s="10"/>
      <c r="J26" s="11" t="n">
        <v>209250</v>
      </c>
      <c r="K26" s="38" t="s">
        <v>114</v>
      </c>
      <c r="L26" s="39" t="n">
        <f aca="false">J26</f>
        <v>209250</v>
      </c>
      <c r="M26" s="40"/>
      <c r="N26" s="41"/>
      <c r="O26" s="42"/>
      <c r="P26" s="43"/>
      <c r="Q26" s="44"/>
      <c r="R26" s="45"/>
      <c r="S26" s="46" t="s">
        <v>115</v>
      </c>
      <c r="T26" s="13" t="n">
        <f aca="false">L26</f>
        <v>209250</v>
      </c>
      <c r="U26" s="13" t="n">
        <f aca="false">IF(N26&lt;&gt;"",N26,T26)</f>
        <v>209250</v>
      </c>
      <c r="V26" s="13" t="n">
        <f aca="false">IF(P26&lt;&gt;"",P26,U26)</f>
        <v>209250</v>
      </c>
      <c r="W26" s="13" t="n">
        <f aca="false">IF(R26&lt;&gt;"",R26,V26)</f>
        <v>209250</v>
      </c>
      <c r="X26" s="13" t="n">
        <f aca="false">IFERROR(INDEX(T26:W26,MATCH(S26,{"Lyx","Premium","Medium","Basic"},0)),T26)</f>
        <v>209250</v>
      </c>
    </row>
    <row r="27" customFormat="false" ht="15" hidden="false" customHeight="false" outlineLevel="0" collapsed="false">
      <c r="A27" s="31" t="s">
        <v>40</v>
      </c>
      <c r="B27" s="31" t="s">
        <v>41</v>
      </c>
      <c r="C27" s="32"/>
      <c r="D27" s="32"/>
      <c r="E27" s="33"/>
      <c r="F27" s="33"/>
      <c r="G27" s="33"/>
      <c r="H27" s="33"/>
      <c r="I27" s="33"/>
      <c r="J27" s="34"/>
      <c r="K27" s="32"/>
      <c r="L27" s="34"/>
      <c r="M27" s="32"/>
      <c r="N27" s="34"/>
      <c r="O27" s="32"/>
      <c r="P27" s="34"/>
      <c r="Q27" s="32"/>
      <c r="R27" s="34"/>
      <c r="S27" s="33"/>
      <c r="T27" s="34"/>
      <c r="U27" s="34"/>
      <c r="V27" s="34"/>
      <c r="W27" s="34"/>
      <c r="X27" s="34"/>
    </row>
    <row r="28" customFormat="false" ht="15" hidden="false" customHeight="false" outlineLevel="0" collapsed="false">
      <c r="A28" s="10" t="s">
        <v>40</v>
      </c>
      <c r="B28" s="10" t="s">
        <v>41</v>
      </c>
      <c r="C28" s="35" t="s">
        <v>139</v>
      </c>
      <c r="D28" s="35" t="s">
        <v>140</v>
      </c>
      <c r="E28" s="10" t="s">
        <v>141</v>
      </c>
      <c r="F28" s="10" t="s">
        <v>112</v>
      </c>
      <c r="G28" s="10"/>
      <c r="H28" s="10"/>
      <c r="I28" s="10"/>
      <c r="J28" s="11" t="n">
        <v>76250</v>
      </c>
      <c r="K28" s="38" t="s">
        <v>114</v>
      </c>
      <c r="L28" s="39" t="n">
        <f aca="false">J28</f>
        <v>76250</v>
      </c>
      <c r="M28" s="40"/>
      <c r="N28" s="41"/>
      <c r="O28" s="42"/>
      <c r="P28" s="43"/>
      <c r="Q28" s="44"/>
      <c r="R28" s="45"/>
      <c r="S28" s="46" t="s">
        <v>115</v>
      </c>
      <c r="T28" s="13" t="n">
        <f aca="false">L28</f>
        <v>76250</v>
      </c>
      <c r="U28" s="13" t="n">
        <f aca="false">IF(N28&lt;&gt;"",N28,T28)</f>
        <v>76250</v>
      </c>
      <c r="V28" s="13" t="n">
        <f aca="false">IF(P28&lt;&gt;"",P28,U28)</f>
        <v>76250</v>
      </c>
      <c r="W28" s="13" t="n">
        <f aca="false">IF(R28&lt;&gt;"",R28,V28)</f>
        <v>76250</v>
      </c>
      <c r="X28" s="13" t="n">
        <f aca="false">IFERROR(INDEX(T28:W28,MATCH(S28,{"Lyx","Premium","Medium","Basic"},0)),T28)</f>
        <v>76250</v>
      </c>
    </row>
    <row r="29" customFormat="false" ht="15" hidden="false" customHeight="false" outlineLevel="0" collapsed="false">
      <c r="A29" s="31" t="s">
        <v>48</v>
      </c>
      <c r="B29" s="31" t="s">
        <v>49</v>
      </c>
      <c r="C29" s="32"/>
      <c r="D29" s="32"/>
      <c r="E29" s="33"/>
      <c r="F29" s="33"/>
      <c r="G29" s="33"/>
      <c r="H29" s="33"/>
      <c r="I29" s="33"/>
      <c r="J29" s="34"/>
      <c r="K29" s="32"/>
      <c r="L29" s="34"/>
      <c r="M29" s="32"/>
      <c r="N29" s="34"/>
      <c r="O29" s="32"/>
      <c r="P29" s="34"/>
      <c r="Q29" s="32"/>
      <c r="R29" s="34"/>
      <c r="S29" s="33"/>
      <c r="T29" s="34"/>
      <c r="U29" s="34"/>
      <c r="V29" s="34"/>
      <c r="W29" s="34"/>
      <c r="X29" s="34"/>
    </row>
    <row r="30" customFormat="false" ht="15" hidden="false" customHeight="false" outlineLevel="0" collapsed="false">
      <c r="A30" s="10" t="s">
        <v>48</v>
      </c>
      <c r="B30" s="10" t="s">
        <v>49</v>
      </c>
      <c r="C30" s="35" t="s">
        <v>142</v>
      </c>
      <c r="D30" s="35"/>
      <c r="E30" s="10" t="s">
        <v>143</v>
      </c>
      <c r="F30" s="10" t="s">
        <v>144</v>
      </c>
      <c r="G30" s="10"/>
      <c r="H30" s="10"/>
      <c r="I30" s="10"/>
      <c r="J30" s="11" t="n">
        <v>9800</v>
      </c>
      <c r="K30" s="38" t="s">
        <v>114</v>
      </c>
      <c r="L30" s="39" t="n">
        <f aca="false">J30</f>
        <v>9800</v>
      </c>
      <c r="M30" s="40"/>
      <c r="N30" s="41"/>
      <c r="O30" s="42"/>
      <c r="P30" s="43"/>
      <c r="Q30" s="44"/>
      <c r="R30" s="45"/>
      <c r="S30" s="46" t="s">
        <v>115</v>
      </c>
      <c r="T30" s="13" t="n">
        <f aca="false">L30</f>
        <v>9800</v>
      </c>
      <c r="U30" s="13" t="n">
        <f aca="false">IF(N30&lt;&gt;"",N30,T30)</f>
        <v>9800</v>
      </c>
      <c r="V30" s="13" t="n">
        <f aca="false">IF(P30&lt;&gt;"",P30,U30)</f>
        <v>9800</v>
      </c>
      <c r="W30" s="13" t="n">
        <f aca="false">IF(R30&lt;&gt;"",R30,V30)</f>
        <v>9800</v>
      </c>
      <c r="X30" s="13" t="n">
        <f aca="false">IFERROR(INDEX(T30:W30,MATCH(S30,{"Lyx","Premium","Medium","Basic"},0)),T30)</f>
        <v>9800</v>
      </c>
    </row>
    <row r="31" customFormat="false" ht="15" hidden="false" customHeight="false" outlineLevel="0" collapsed="false">
      <c r="A31" s="10" t="s">
        <v>48</v>
      </c>
      <c r="B31" s="10" t="s">
        <v>49</v>
      </c>
      <c r="C31" s="35" t="s">
        <v>145</v>
      </c>
      <c r="D31" s="35"/>
      <c r="E31" s="10" t="s">
        <v>143</v>
      </c>
      <c r="F31" s="10" t="s">
        <v>144</v>
      </c>
      <c r="G31" s="10"/>
      <c r="H31" s="10"/>
      <c r="I31" s="10"/>
      <c r="J31" s="11" t="n">
        <v>8013.75</v>
      </c>
      <c r="K31" s="38" t="s">
        <v>114</v>
      </c>
      <c r="L31" s="39" t="n">
        <f aca="false">J31</f>
        <v>8013.75</v>
      </c>
      <c r="M31" s="40"/>
      <c r="N31" s="41"/>
      <c r="O31" s="42"/>
      <c r="P31" s="43"/>
      <c r="Q31" s="44"/>
      <c r="R31" s="45"/>
      <c r="S31" s="46" t="s">
        <v>115</v>
      </c>
      <c r="T31" s="13" t="n">
        <f aca="false">L31</f>
        <v>8013.75</v>
      </c>
      <c r="U31" s="13" t="n">
        <f aca="false">IF(N31&lt;&gt;"",N31,T31)</f>
        <v>8013.75</v>
      </c>
      <c r="V31" s="13" t="n">
        <f aca="false">IF(P31&lt;&gt;"",P31,U31)</f>
        <v>8013.75</v>
      </c>
      <c r="W31" s="13" t="n">
        <f aca="false">IF(R31&lt;&gt;"",R31,V31)</f>
        <v>8013.75</v>
      </c>
      <c r="X31" s="13" t="n">
        <f aca="false">IFERROR(INDEX(T31:W31,MATCH(S31,{"Lyx","Premium","Medium","Basic"},0)),T31)</f>
        <v>8013.75</v>
      </c>
    </row>
    <row r="32" customFormat="false" ht="15" hidden="false" customHeight="false" outlineLevel="0" collapsed="false">
      <c r="A32" s="10" t="s">
        <v>48</v>
      </c>
      <c r="B32" s="10" t="s">
        <v>49</v>
      </c>
      <c r="C32" s="35" t="s">
        <v>146</v>
      </c>
      <c r="D32" s="35"/>
      <c r="E32" s="10" t="s">
        <v>143</v>
      </c>
      <c r="F32" s="10" t="s">
        <v>144</v>
      </c>
      <c r="G32" s="10"/>
      <c r="H32" s="10"/>
      <c r="I32" s="10"/>
      <c r="J32" s="11" t="n">
        <v>8371.25</v>
      </c>
      <c r="K32" s="38" t="s">
        <v>114</v>
      </c>
      <c r="L32" s="39" t="n">
        <f aca="false">J32</f>
        <v>8371.25</v>
      </c>
      <c r="M32" s="40"/>
      <c r="N32" s="41"/>
      <c r="O32" s="42"/>
      <c r="P32" s="43"/>
      <c r="Q32" s="44"/>
      <c r="R32" s="45"/>
      <c r="S32" s="46" t="s">
        <v>115</v>
      </c>
      <c r="T32" s="13" t="n">
        <f aca="false">L32</f>
        <v>8371.25</v>
      </c>
      <c r="U32" s="13" t="n">
        <f aca="false">IF(N32&lt;&gt;"",N32,T32)</f>
        <v>8371.25</v>
      </c>
      <c r="V32" s="13" t="n">
        <f aca="false">IF(P32&lt;&gt;"",P32,U32)</f>
        <v>8371.25</v>
      </c>
      <c r="W32" s="13" t="n">
        <f aca="false">IF(R32&lt;&gt;"",R32,V32)</f>
        <v>8371.25</v>
      </c>
      <c r="X32" s="13" t="n">
        <f aca="false">IFERROR(INDEX(T32:W32,MATCH(S32,{"Lyx","Premium","Medium","Basic"},0)),T32)</f>
        <v>8371.25</v>
      </c>
    </row>
    <row r="33" customFormat="false" ht="23.85" hidden="false" customHeight="false" outlineLevel="0" collapsed="false">
      <c r="A33" s="10" t="s">
        <v>48</v>
      </c>
      <c r="B33" s="10" t="s">
        <v>49</v>
      </c>
      <c r="C33" s="35" t="s">
        <v>147</v>
      </c>
      <c r="D33" s="35" t="s">
        <v>148</v>
      </c>
      <c r="E33" s="10" t="s">
        <v>143</v>
      </c>
      <c r="F33" s="10" t="s">
        <v>144</v>
      </c>
      <c r="G33" s="10"/>
      <c r="H33" s="10"/>
      <c r="I33" s="10"/>
      <c r="J33" s="13"/>
      <c r="K33" s="38" t="s">
        <v>149</v>
      </c>
      <c r="L33" s="47" t="n">
        <v>5715</v>
      </c>
      <c r="M33" s="40" t="s">
        <v>150</v>
      </c>
      <c r="N33" s="48" t="n">
        <v>4556.25</v>
      </c>
      <c r="O33" s="42"/>
      <c r="P33" s="43"/>
      <c r="Q33" s="44"/>
      <c r="R33" s="45"/>
      <c r="S33" s="46" t="s">
        <v>115</v>
      </c>
      <c r="T33" s="13" t="n">
        <f aca="false">L33</f>
        <v>5715</v>
      </c>
      <c r="U33" s="13" t="n">
        <f aca="false">IF(N33&lt;&gt;"",N33,T33)</f>
        <v>4556.25</v>
      </c>
      <c r="V33" s="13" t="n">
        <f aca="false">IF(P33&lt;&gt;"",P33,U33)</f>
        <v>4556.25</v>
      </c>
      <c r="W33" s="13" t="n">
        <f aca="false">IF(R33&lt;&gt;"",R33,V33)</f>
        <v>4556.25</v>
      </c>
      <c r="X33" s="13" t="n">
        <f aca="false">IFERROR(INDEX(T33:W33,MATCH(S33,{"Lyx","Premium","Medium","Basic"},0)),T33)</f>
        <v>5715</v>
      </c>
    </row>
    <row r="34" customFormat="false" ht="35.05" hidden="false" customHeight="false" outlineLevel="0" collapsed="false">
      <c r="A34" s="10" t="s">
        <v>48</v>
      </c>
      <c r="B34" s="10" t="s">
        <v>49</v>
      </c>
      <c r="C34" s="35" t="s">
        <v>151</v>
      </c>
      <c r="D34" s="35" t="s">
        <v>152</v>
      </c>
      <c r="E34" s="10" t="s">
        <v>143</v>
      </c>
      <c r="F34" s="10" t="s">
        <v>144</v>
      </c>
      <c r="G34" s="10"/>
      <c r="H34" s="10"/>
      <c r="I34" s="10"/>
      <c r="J34" s="13"/>
      <c r="K34" s="38" t="s">
        <v>153</v>
      </c>
      <c r="L34" s="47" t="n">
        <v>31817.5</v>
      </c>
      <c r="M34" s="40" t="s">
        <v>154</v>
      </c>
      <c r="N34" s="48" t="n">
        <v>18811.25</v>
      </c>
      <c r="O34" s="42"/>
      <c r="P34" s="43"/>
      <c r="Q34" s="44"/>
      <c r="R34" s="45"/>
      <c r="S34" s="46" t="s">
        <v>115</v>
      </c>
      <c r="T34" s="13" t="n">
        <f aca="false">L34</f>
        <v>31817.5</v>
      </c>
      <c r="U34" s="13" t="n">
        <f aca="false">IF(N34&lt;&gt;"",N34,T34)</f>
        <v>18811.25</v>
      </c>
      <c r="V34" s="13" t="n">
        <f aca="false">IF(P34&lt;&gt;"",P34,U34)</f>
        <v>18811.25</v>
      </c>
      <c r="W34" s="13" t="n">
        <f aca="false">IF(R34&lt;&gt;"",R34,V34)</f>
        <v>18811.25</v>
      </c>
      <c r="X34" s="13" t="n">
        <f aca="false">IFERROR(INDEX(T34:W34,MATCH(S34,{"Lyx","Premium","Medium","Basic"},0)),T34)</f>
        <v>31817.5</v>
      </c>
    </row>
    <row r="35" customFormat="false" ht="23.85" hidden="false" customHeight="false" outlineLevel="0" collapsed="false">
      <c r="A35" s="10" t="s">
        <v>48</v>
      </c>
      <c r="B35" s="10" t="s">
        <v>49</v>
      </c>
      <c r="C35" s="35" t="s">
        <v>155</v>
      </c>
      <c r="D35" s="35" t="s">
        <v>156</v>
      </c>
      <c r="E35" s="10" t="s">
        <v>143</v>
      </c>
      <c r="F35" s="10" t="s">
        <v>144</v>
      </c>
      <c r="G35" s="10"/>
      <c r="H35" s="10"/>
      <c r="I35" s="10"/>
      <c r="J35" s="13"/>
      <c r="K35" s="38" t="s">
        <v>157</v>
      </c>
      <c r="L35" s="47" t="n">
        <v>4750</v>
      </c>
      <c r="M35" s="40" t="s">
        <v>158</v>
      </c>
      <c r="N35" s="48" t="n">
        <v>4188.75</v>
      </c>
      <c r="O35" s="42"/>
      <c r="P35" s="43"/>
      <c r="Q35" s="44"/>
      <c r="R35" s="45"/>
      <c r="S35" s="46" t="s">
        <v>115</v>
      </c>
      <c r="T35" s="13" t="n">
        <f aca="false">L35</f>
        <v>4750</v>
      </c>
      <c r="U35" s="13" t="n">
        <f aca="false">IF(N35&lt;&gt;"",N35,T35)</f>
        <v>4188.75</v>
      </c>
      <c r="V35" s="13" t="n">
        <f aca="false">IF(P35&lt;&gt;"",P35,U35)</f>
        <v>4188.75</v>
      </c>
      <c r="W35" s="13" t="n">
        <f aca="false">IF(R35&lt;&gt;"",R35,V35)</f>
        <v>4188.75</v>
      </c>
      <c r="X35" s="13" t="n">
        <f aca="false">IFERROR(INDEX(T35:W35,MATCH(S35,{"Lyx","Premium","Medium","Basic"},0)),T35)</f>
        <v>4750</v>
      </c>
    </row>
    <row r="36" customFormat="false" ht="15" hidden="false" customHeight="false" outlineLevel="0" collapsed="false">
      <c r="A36" s="10" t="s">
        <v>48</v>
      </c>
      <c r="B36" s="10" t="s">
        <v>49</v>
      </c>
      <c r="C36" s="35" t="s">
        <v>159</v>
      </c>
      <c r="D36" s="35"/>
      <c r="E36" s="10" t="s">
        <v>111</v>
      </c>
      <c r="F36" s="10" t="s">
        <v>144</v>
      </c>
      <c r="G36" s="10"/>
      <c r="H36" s="10"/>
      <c r="I36" s="10"/>
      <c r="J36" s="11" t="n">
        <v>12250</v>
      </c>
      <c r="K36" s="38" t="s">
        <v>114</v>
      </c>
      <c r="L36" s="39" t="n">
        <f aca="false">J36</f>
        <v>12250</v>
      </c>
      <c r="M36" s="40"/>
      <c r="N36" s="41"/>
      <c r="O36" s="42"/>
      <c r="P36" s="43"/>
      <c r="Q36" s="44"/>
      <c r="R36" s="45"/>
      <c r="S36" s="46" t="s">
        <v>115</v>
      </c>
      <c r="T36" s="13" t="n">
        <f aca="false">L36</f>
        <v>12250</v>
      </c>
      <c r="U36" s="13" t="n">
        <f aca="false">IF(N36&lt;&gt;"",N36,T36)</f>
        <v>12250</v>
      </c>
      <c r="V36" s="13" t="n">
        <f aca="false">IF(P36&lt;&gt;"",P36,U36)</f>
        <v>12250</v>
      </c>
      <c r="W36" s="13" t="n">
        <f aca="false">IF(R36&lt;&gt;"",R36,V36)</f>
        <v>12250</v>
      </c>
      <c r="X36" s="13" t="n">
        <f aca="false">IFERROR(INDEX(T36:W36,MATCH(S36,{"Lyx","Premium","Medium","Basic"},0)),T36)</f>
        <v>12250</v>
      </c>
    </row>
    <row r="37" customFormat="false" ht="15" hidden="false" customHeight="false" outlineLevel="0" collapsed="false">
      <c r="A37" s="10" t="s">
        <v>48</v>
      </c>
      <c r="B37" s="10" t="s">
        <v>49</v>
      </c>
      <c r="C37" s="35" t="s">
        <v>160</v>
      </c>
      <c r="D37" s="35"/>
      <c r="E37" s="10" t="s">
        <v>143</v>
      </c>
      <c r="F37" s="10" t="s">
        <v>161</v>
      </c>
      <c r="G37" s="10"/>
      <c r="H37" s="10"/>
      <c r="I37" s="10"/>
      <c r="J37" s="11" t="n">
        <v>9800</v>
      </c>
      <c r="K37" s="38" t="s">
        <v>114</v>
      </c>
      <c r="L37" s="39" t="n">
        <f aca="false">J37</f>
        <v>9800</v>
      </c>
      <c r="M37" s="40"/>
      <c r="N37" s="41"/>
      <c r="O37" s="42"/>
      <c r="P37" s="43"/>
      <c r="Q37" s="44"/>
      <c r="R37" s="45"/>
      <c r="S37" s="46" t="s">
        <v>115</v>
      </c>
      <c r="T37" s="13" t="n">
        <f aca="false">L37</f>
        <v>9800</v>
      </c>
      <c r="U37" s="13" t="n">
        <f aca="false">IF(N37&lt;&gt;"",N37,T37)</f>
        <v>9800</v>
      </c>
      <c r="V37" s="13" t="n">
        <f aca="false">IF(P37&lt;&gt;"",P37,U37)</f>
        <v>9800</v>
      </c>
      <c r="W37" s="13" t="n">
        <f aca="false">IF(R37&lt;&gt;"",R37,V37)</f>
        <v>9800</v>
      </c>
      <c r="X37" s="13" t="n">
        <f aca="false">IFERROR(INDEX(T37:W37,MATCH(S37,{"Lyx","Premium","Medium","Basic"},0)),T37)</f>
        <v>9800</v>
      </c>
    </row>
    <row r="38" customFormat="false" ht="15" hidden="false" customHeight="false" outlineLevel="0" collapsed="false">
      <c r="A38" s="10" t="s">
        <v>48</v>
      </c>
      <c r="B38" s="10" t="s">
        <v>49</v>
      </c>
      <c r="C38" s="35" t="s">
        <v>162</v>
      </c>
      <c r="D38" s="35"/>
      <c r="E38" s="10" t="s">
        <v>143</v>
      </c>
      <c r="F38" s="10" t="s">
        <v>161</v>
      </c>
      <c r="G38" s="10"/>
      <c r="H38" s="10"/>
      <c r="I38" s="10"/>
      <c r="J38" s="11" t="n">
        <v>8013.75</v>
      </c>
      <c r="K38" s="38" t="s">
        <v>114</v>
      </c>
      <c r="L38" s="39" t="n">
        <f aca="false">J38</f>
        <v>8013.75</v>
      </c>
      <c r="M38" s="40"/>
      <c r="N38" s="41"/>
      <c r="O38" s="42"/>
      <c r="P38" s="43"/>
      <c r="Q38" s="44"/>
      <c r="R38" s="45"/>
      <c r="S38" s="46" t="s">
        <v>115</v>
      </c>
      <c r="T38" s="13" t="n">
        <f aca="false">L38</f>
        <v>8013.75</v>
      </c>
      <c r="U38" s="13" t="n">
        <f aca="false">IF(N38&lt;&gt;"",N38,T38)</f>
        <v>8013.75</v>
      </c>
      <c r="V38" s="13" t="n">
        <f aca="false">IF(P38&lt;&gt;"",P38,U38)</f>
        <v>8013.75</v>
      </c>
      <c r="W38" s="13" t="n">
        <f aca="false">IF(R38&lt;&gt;"",R38,V38)</f>
        <v>8013.75</v>
      </c>
      <c r="X38" s="13" t="n">
        <f aca="false">IFERROR(INDEX(T38:W38,MATCH(S38,{"Lyx","Premium","Medium","Basic"},0)),T38)</f>
        <v>8013.75</v>
      </c>
    </row>
    <row r="39" customFormat="false" ht="23.85" hidden="false" customHeight="false" outlineLevel="0" collapsed="false">
      <c r="A39" s="10" t="s">
        <v>48</v>
      </c>
      <c r="B39" s="10" t="s">
        <v>49</v>
      </c>
      <c r="C39" s="35" t="s">
        <v>163</v>
      </c>
      <c r="D39" s="35" t="s">
        <v>164</v>
      </c>
      <c r="E39" s="10" t="s">
        <v>143</v>
      </c>
      <c r="F39" s="10" t="s">
        <v>161</v>
      </c>
      <c r="G39" s="10"/>
      <c r="H39" s="10"/>
      <c r="I39" s="10"/>
      <c r="J39" s="13"/>
      <c r="K39" s="38" t="s">
        <v>149</v>
      </c>
      <c r="L39" s="47" t="n">
        <v>5715</v>
      </c>
      <c r="M39" s="40" t="s">
        <v>150</v>
      </c>
      <c r="N39" s="48" t="n">
        <v>4556.25</v>
      </c>
      <c r="O39" s="42"/>
      <c r="P39" s="43"/>
      <c r="Q39" s="44"/>
      <c r="R39" s="45"/>
      <c r="S39" s="46" t="s">
        <v>115</v>
      </c>
      <c r="T39" s="13" t="n">
        <f aca="false">L39</f>
        <v>5715</v>
      </c>
      <c r="U39" s="13" t="n">
        <f aca="false">IF(N39&lt;&gt;"",N39,T39)</f>
        <v>4556.25</v>
      </c>
      <c r="V39" s="13" t="n">
        <f aca="false">IF(P39&lt;&gt;"",P39,U39)</f>
        <v>4556.25</v>
      </c>
      <c r="W39" s="13" t="n">
        <f aca="false">IF(R39&lt;&gt;"",R39,V39)</f>
        <v>4556.25</v>
      </c>
      <c r="X39" s="13" t="n">
        <f aca="false">IFERROR(INDEX(T39:W39,MATCH(S39,{"Lyx","Premium","Medium","Basic"},0)),T39)</f>
        <v>5715</v>
      </c>
    </row>
    <row r="40" customFormat="false" ht="23.85" hidden="false" customHeight="false" outlineLevel="0" collapsed="false">
      <c r="A40" s="10" t="s">
        <v>48</v>
      </c>
      <c r="B40" s="10" t="s">
        <v>49</v>
      </c>
      <c r="C40" s="35" t="s">
        <v>165</v>
      </c>
      <c r="D40" s="35" t="s">
        <v>166</v>
      </c>
      <c r="E40" s="10" t="s">
        <v>143</v>
      </c>
      <c r="F40" s="10" t="s">
        <v>161</v>
      </c>
      <c r="G40" s="10"/>
      <c r="H40" s="10"/>
      <c r="I40" s="10"/>
      <c r="J40" s="13"/>
      <c r="K40" s="38" t="s">
        <v>157</v>
      </c>
      <c r="L40" s="47" t="n">
        <v>4750</v>
      </c>
      <c r="M40" s="40" t="s">
        <v>158</v>
      </c>
      <c r="N40" s="48" t="n">
        <v>4188.75</v>
      </c>
      <c r="O40" s="42"/>
      <c r="P40" s="43"/>
      <c r="Q40" s="44"/>
      <c r="R40" s="45"/>
      <c r="S40" s="46" t="s">
        <v>115</v>
      </c>
      <c r="T40" s="13" t="n">
        <f aca="false">L40</f>
        <v>4750</v>
      </c>
      <c r="U40" s="13" t="n">
        <f aca="false">IF(N40&lt;&gt;"",N40,T40)</f>
        <v>4188.75</v>
      </c>
      <c r="V40" s="13" t="n">
        <f aca="false">IF(P40&lt;&gt;"",P40,U40)</f>
        <v>4188.75</v>
      </c>
      <c r="W40" s="13" t="n">
        <f aca="false">IF(R40&lt;&gt;"",R40,V40)</f>
        <v>4188.75</v>
      </c>
      <c r="X40" s="13" t="n">
        <f aca="false">IFERROR(INDEX(T40:W40,MATCH(S40,{"Lyx","Premium","Medium","Basic"},0)),T40)</f>
        <v>4750</v>
      </c>
    </row>
    <row r="41" customFormat="false" ht="35.05" hidden="false" customHeight="false" outlineLevel="0" collapsed="false">
      <c r="A41" s="10" t="s">
        <v>48</v>
      </c>
      <c r="B41" s="10" t="s">
        <v>49</v>
      </c>
      <c r="C41" s="35" t="s">
        <v>167</v>
      </c>
      <c r="D41" s="35" t="s">
        <v>168</v>
      </c>
      <c r="E41" s="10" t="s">
        <v>143</v>
      </c>
      <c r="F41" s="10" t="s">
        <v>169</v>
      </c>
      <c r="G41" s="10"/>
      <c r="H41" s="10"/>
      <c r="I41" s="10"/>
      <c r="J41" s="13"/>
      <c r="K41" s="38" t="s">
        <v>170</v>
      </c>
      <c r="L41" s="47" t="n">
        <v>12715</v>
      </c>
      <c r="M41" s="40" t="s">
        <v>171</v>
      </c>
      <c r="N41" s="48" t="n">
        <v>9956.25</v>
      </c>
      <c r="O41" s="42" t="s">
        <v>172</v>
      </c>
      <c r="P41" s="49" t="n">
        <v>5882.5</v>
      </c>
      <c r="Q41" s="44"/>
      <c r="R41" s="45"/>
      <c r="S41" s="46" t="s">
        <v>115</v>
      </c>
      <c r="T41" s="13" t="n">
        <f aca="false">L41</f>
        <v>12715</v>
      </c>
      <c r="U41" s="13" t="n">
        <f aca="false">IF(N41&lt;&gt;"",N41,T41)</f>
        <v>9956.25</v>
      </c>
      <c r="V41" s="13" t="n">
        <f aca="false">IF(P41&lt;&gt;"",P41,U41)</f>
        <v>5882.5</v>
      </c>
      <c r="W41" s="13" t="n">
        <f aca="false">IF(R41&lt;&gt;"",R41,V41)</f>
        <v>5882.5</v>
      </c>
      <c r="X41" s="13" t="n">
        <f aca="false">IFERROR(INDEX(T41:W41,MATCH(S41,{"Lyx","Premium","Medium","Basic"},0)),T41)</f>
        <v>12715</v>
      </c>
    </row>
    <row r="42" customFormat="false" ht="15" hidden="false" customHeight="false" outlineLevel="0" collapsed="false">
      <c r="A42" s="31" t="s">
        <v>50</v>
      </c>
      <c r="B42" s="31" t="s">
        <v>51</v>
      </c>
      <c r="C42" s="32"/>
      <c r="D42" s="32"/>
      <c r="E42" s="33"/>
      <c r="F42" s="33"/>
      <c r="G42" s="33"/>
      <c r="H42" s="33"/>
      <c r="I42" s="33"/>
      <c r="J42" s="34"/>
      <c r="K42" s="32"/>
      <c r="L42" s="34"/>
      <c r="M42" s="32"/>
      <c r="N42" s="34"/>
      <c r="O42" s="32"/>
      <c r="P42" s="34"/>
      <c r="Q42" s="32"/>
      <c r="R42" s="34"/>
      <c r="S42" s="33"/>
      <c r="T42" s="34"/>
      <c r="U42" s="34"/>
      <c r="V42" s="34"/>
      <c r="W42" s="34"/>
      <c r="X42" s="34"/>
    </row>
    <row r="43" customFormat="false" ht="23.85" hidden="false" customHeight="false" outlineLevel="0" collapsed="false">
      <c r="A43" s="10" t="s">
        <v>50</v>
      </c>
      <c r="B43" s="10" t="s">
        <v>51</v>
      </c>
      <c r="C43" s="35" t="s">
        <v>173</v>
      </c>
      <c r="D43" s="35" t="s">
        <v>174</v>
      </c>
      <c r="E43" s="10" t="s">
        <v>118</v>
      </c>
      <c r="F43" s="10" t="s">
        <v>112</v>
      </c>
      <c r="G43" s="10"/>
      <c r="H43" s="10"/>
      <c r="I43" s="10"/>
      <c r="J43" s="11" t="n">
        <v>494480</v>
      </c>
      <c r="K43" s="38" t="s">
        <v>114</v>
      </c>
      <c r="L43" s="39" t="n">
        <f aca="false">J43</f>
        <v>494480</v>
      </c>
      <c r="M43" s="40"/>
      <c r="N43" s="41"/>
      <c r="O43" s="42"/>
      <c r="P43" s="43"/>
      <c r="Q43" s="44"/>
      <c r="R43" s="45"/>
      <c r="S43" s="46" t="s">
        <v>115</v>
      </c>
      <c r="T43" s="13" t="n">
        <f aca="false">L43</f>
        <v>494480</v>
      </c>
      <c r="U43" s="13" t="n">
        <f aca="false">IF(N43&lt;&gt;"",N43,T43)</f>
        <v>494480</v>
      </c>
      <c r="V43" s="13" t="n">
        <f aca="false">IF(P43&lt;&gt;"",P43,U43)</f>
        <v>494480</v>
      </c>
      <c r="W43" s="13" t="n">
        <f aca="false">IF(R43&lt;&gt;"",R43,V43)</f>
        <v>494480</v>
      </c>
      <c r="X43" s="13" t="n">
        <f aca="false">IFERROR(INDEX(T43:W43,MATCH(S43,{"Lyx","Premium","Medium","Basic"},0)),T43)</f>
        <v>494480</v>
      </c>
    </row>
    <row r="44" customFormat="false" ht="15" hidden="false" customHeight="false" outlineLevel="0" collapsed="false">
      <c r="A44" s="10" t="s">
        <v>50</v>
      </c>
      <c r="B44" s="10" t="s">
        <v>51</v>
      </c>
      <c r="C44" s="35" t="s">
        <v>175</v>
      </c>
      <c r="D44" s="35"/>
      <c r="E44" s="10" t="s">
        <v>143</v>
      </c>
      <c r="F44" s="10" t="s">
        <v>112</v>
      </c>
      <c r="G44" s="36" t="n">
        <v>50</v>
      </c>
      <c r="H44" s="10" t="s">
        <v>176</v>
      </c>
      <c r="I44" s="37" t="n">
        <v>131.25</v>
      </c>
      <c r="J44" s="13" t="n">
        <f aca="false">G44*I44</f>
        <v>6562.5</v>
      </c>
      <c r="K44" s="38" t="s">
        <v>114</v>
      </c>
      <c r="L44" s="39" t="n">
        <f aca="false">J44</f>
        <v>6562.5</v>
      </c>
      <c r="M44" s="40"/>
      <c r="N44" s="41"/>
      <c r="O44" s="42"/>
      <c r="P44" s="43"/>
      <c r="Q44" s="44"/>
      <c r="R44" s="45"/>
      <c r="S44" s="46" t="s">
        <v>115</v>
      </c>
      <c r="T44" s="13" t="n">
        <f aca="false">L44</f>
        <v>6562.5</v>
      </c>
      <c r="U44" s="13" t="n">
        <f aca="false">IF(N44&lt;&gt;"",N44,T44)</f>
        <v>6562.5</v>
      </c>
      <c r="V44" s="13" t="n">
        <f aca="false">IF(P44&lt;&gt;"",P44,U44)</f>
        <v>6562.5</v>
      </c>
      <c r="W44" s="13" t="n">
        <f aca="false">IF(R44&lt;&gt;"",R44,V44)</f>
        <v>6562.5</v>
      </c>
      <c r="X44" s="13" t="n">
        <f aca="false">IFERROR(INDEX(T44:W44,MATCH(S44,{"Lyx","Premium","Medium","Basic"},0)),T44)</f>
        <v>6562.5</v>
      </c>
    </row>
    <row r="45" customFormat="false" ht="15" hidden="false" customHeight="false" outlineLevel="0" collapsed="false">
      <c r="A45" s="10" t="s">
        <v>50</v>
      </c>
      <c r="B45" s="10" t="s">
        <v>51</v>
      </c>
      <c r="C45" s="35" t="s">
        <v>177</v>
      </c>
      <c r="D45" s="35"/>
      <c r="E45" s="10" t="s">
        <v>143</v>
      </c>
      <c r="F45" s="10" t="s">
        <v>112</v>
      </c>
      <c r="G45" s="10"/>
      <c r="H45" s="10"/>
      <c r="I45" s="10"/>
      <c r="J45" s="11" t="n">
        <v>5625</v>
      </c>
      <c r="K45" s="38" t="s">
        <v>114</v>
      </c>
      <c r="L45" s="39" t="n">
        <f aca="false">J45</f>
        <v>5625</v>
      </c>
      <c r="M45" s="40"/>
      <c r="N45" s="41"/>
      <c r="O45" s="42"/>
      <c r="P45" s="43"/>
      <c r="Q45" s="44"/>
      <c r="R45" s="45"/>
      <c r="S45" s="46" t="s">
        <v>115</v>
      </c>
      <c r="T45" s="13" t="n">
        <f aca="false">L45</f>
        <v>5625</v>
      </c>
      <c r="U45" s="13" t="n">
        <f aca="false">IF(N45&lt;&gt;"",N45,T45)</f>
        <v>5625</v>
      </c>
      <c r="V45" s="13" t="n">
        <f aca="false">IF(P45&lt;&gt;"",P45,U45)</f>
        <v>5625</v>
      </c>
      <c r="W45" s="13" t="n">
        <f aca="false">IF(R45&lt;&gt;"",R45,V45)</f>
        <v>5625</v>
      </c>
      <c r="X45" s="13" t="n">
        <f aca="false">IFERROR(INDEX(T45:W45,MATCH(S45,{"Lyx","Premium","Medium","Basic"},0)),T45)</f>
        <v>5625</v>
      </c>
    </row>
    <row r="46" customFormat="false" ht="15" hidden="false" customHeight="false" outlineLevel="0" collapsed="false">
      <c r="A46" s="10" t="s">
        <v>50</v>
      </c>
      <c r="B46" s="10" t="s">
        <v>51</v>
      </c>
      <c r="C46" s="35" t="s">
        <v>178</v>
      </c>
      <c r="D46" s="35"/>
      <c r="E46" s="10" t="s">
        <v>143</v>
      </c>
      <c r="F46" s="10" t="s">
        <v>112</v>
      </c>
      <c r="G46" s="10"/>
      <c r="H46" s="10"/>
      <c r="I46" s="10"/>
      <c r="J46" s="11" t="n">
        <v>10875</v>
      </c>
      <c r="K46" s="38" t="s">
        <v>114</v>
      </c>
      <c r="L46" s="39" t="n">
        <f aca="false">J46</f>
        <v>10875</v>
      </c>
      <c r="M46" s="40"/>
      <c r="N46" s="41"/>
      <c r="O46" s="42"/>
      <c r="P46" s="43"/>
      <c r="Q46" s="44"/>
      <c r="R46" s="45"/>
      <c r="S46" s="46" t="s">
        <v>115</v>
      </c>
      <c r="T46" s="13" t="n">
        <f aca="false">L46</f>
        <v>10875</v>
      </c>
      <c r="U46" s="13" t="n">
        <f aca="false">IF(N46&lt;&gt;"",N46,T46)</f>
        <v>10875</v>
      </c>
      <c r="V46" s="13" t="n">
        <f aca="false">IF(P46&lt;&gt;"",P46,U46)</f>
        <v>10875</v>
      </c>
      <c r="W46" s="13" t="n">
        <f aca="false">IF(R46&lt;&gt;"",R46,V46)</f>
        <v>10875</v>
      </c>
      <c r="X46" s="13" t="n">
        <f aca="false">IFERROR(INDEX(T46:W46,MATCH(S46,{"Lyx","Premium","Medium","Basic"},0)),T46)</f>
        <v>10875</v>
      </c>
    </row>
    <row r="47" customFormat="false" ht="15" hidden="false" customHeight="false" outlineLevel="0" collapsed="false">
      <c r="A47" s="10" t="s">
        <v>50</v>
      </c>
      <c r="B47" s="10" t="s">
        <v>51</v>
      </c>
      <c r="C47" s="35" t="s">
        <v>179</v>
      </c>
      <c r="D47" s="35"/>
      <c r="E47" s="10" t="s">
        <v>111</v>
      </c>
      <c r="F47" s="10" t="s">
        <v>112</v>
      </c>
      <c r="G47" s="36" t="n">
        <v>80</v>
      </c>
      <c r="H47" s="10" t="s">
        <v>113</v>
      </c>
      <c r="I47" s="37" t="n">
        <v>650</v>
      </c>
      <c r="J47" s="13" t="n">
        <f aca="false">G47*I47</f>
        <v>52000</v>
      </c>
      <c r="K47" s="38" t="s">
        <v>114</v>
      </c>
      <c r="L47" s="39" t="n">
        <f aca="false">J47</f>
        <v>52000</v>
      </c>
      <c r="M47" s="40"/>
      <c r="N47" s="41"/>
      <c r="O47" s="42"/>
      <c r="P47" s="43"/>
      <c r="Q47" s="44"/>
      <c r="R47" s="45"/>
      <c r="S47" s="46" t="s">
        <v>115</v>
      </c>
      <c r="T47" s="13" t="n">
        <f aca="false">L47</f>
        <v>52000</v>
      </c>
      <c r="U47" s="13" t="n">
        <f aca="false">IF(N47&lt;&gt;"",N47,T47)</f>
        <v>52000</v>
      </c>
      <c r="V47" s="13" t="n">
        <f aca="false">IF(P47&lt;&gt;"",P47,U47)</f>
        <v>52000</v>
      </c>
      <c r="W47" s="13" t="n">
        <f aca="false">IF(R47&lt;&gt;"",R47,V47)</f>
        <v>52000</v>
      </c>
      <c r="X47" s="13" t="n">
        <f aca="false">IFERROR(INDEX(T47:W47,MATCH(S47,{"Lyx","Premium","Medium","Basic"},0)),T47)</f>
        <v>52000</v>
      </c>
    </row>
    <row r="48" customFormat="false" ht="15" hidden="false" customHeight="false" outlineLevel="0" collapsed="false">
      <c r="A48" s="31" t="s">
        <v>52</v>
      </c>
      <c r="B48" s="31" t="s">
        <v>53</v>
      </c>
      <c r="C48" s="32"/>
      <c r="D48" s="32"/>
      <c r="E48" s="33"/>
      <c r="F48" s="33"/>
      <c r="G48" s="33"/>
      <c r="H48" s="33"/>
      <c r="I48" s="33"/>
      <c r="J48" s="34"/>
      <c r="K48" s="32"/>
      <c r="L48" s="34"/>
      <c r="M48" s="32"/>
      <c r="N48" s="34"/>
      <c r="O48" s="32"/>
      <c r="P48" s="34"/>
      <c r="Q48" s="32"/>
      <c r="R48" s="34"/>
      <c r="S48" s="33"/>
      <c r="T48" s="34"/>
      <c r="U48" s="34"/>
      <c r="V48" s="34"/>
      <c r="W48" s="34"/>
      <c r="X48" s="34"/>
    </row>
    <row r="49" customFormat="false" ht="23.85" hidden="false" customHeight="false" outlineLevel="0" collapsed="false">
      <c r="A49" s="10" t="s">
        <v>52</v>
      </c>
      <c r="B49" s="10" t="s">
        <v>53</v>
      </c>
      <c r="C49" s="35" t="s">
        <v>180</v>
      </c>
      <c r="D49" s="35" t="s">
        <v>181</v>
      </c>
      <c r="E49" s="10" t="s">
        <v>118</v>
      </c>
      <c r="F49" s="10" t="s">
        <v>182</v>
      </c>
      <c r="G49" s="10"/>
      <c r="H49" s="10"/>
      <c r="I49" s="10"/>
      <c r="J49" s="11" t="n">
        <v>126000</v>
      </c>
      <c r="K49" s="38" t="s">
        <v>114</v>
      </c>
      <c r="L49" s="39" t="n">
        <f aca="false">J49</f>
        <v>126000</v>
      </c>
      <c r="M49" s="40"/>
      <c r="N49" s="41"/>
      <c r="O49" s="42"/>
      <c r="P49" s="43"/>
      <c r="Q49" s="44"/>
      <c r="R49" s="45"/>
      <c r="S49" s="46" t="s">
        <v>115</v>
      </c>
      <c r="T49" s="13" t="n">
        <f aca="false">L49</f>
        <v>126000</v>
      </c>
      <c r="U49" s="13" t="n">
        <f aca="false">IF(N49&lt;&gt;"",N49,T49)</f>
        <v>126000</v>
      </c>
      <c r="V49" s="13" t="n">
        <f aca="false">IF(P49&lt;&gt;"",P49,U49)</f>
        <v>126000</v>
      </c>
      <c r="W49" s="13" t="n">
        <f aca="false">IF(R49&lt;&gt;"",R49,V49)</f>
        <v>126000</v>
      </c>
      <c r="X49" s="13" t="n">
        <f aca="false">IFERROR(INDEX(T49:W49,MATCH(S49,{"Lyx","Premium","Medium","Basic"},0)),T49)</f>
        <v>126000</v>
      </c>
    </row>
    <row r="50" customFormat="false" ht="15" hidden="false" customHeight="false" outlineLevel="0" collapsed="false">
      <c r="A50" s="10" t="s">
        <v>52</v>
      </c>
      <c r="B50" s="10" t="s">
        <v>53</v>
      </c>
      <c r="C50" s="35" t="s">
        <v>183</v>
      </c>
      <c r="D50" s="35" t="s">
        <v>184</v>
      </c>
      <c r="E50" s="10" t="s">
        <v>118</v>
      </c>
      <c r="F50" s="10" t="s">
        <v>185</v>
      </c>
      <c r="G50" s="10"/>
      <c r="H50" s="10"/>
      <c r="I50" s="10"/>
      <c r="J50" s="11" t="n">
        <v>43750</v>
      </c>
      <c r="K50" s="38" t="s">
        <v>114</v>
      </c>
      <c r="L50" s="39" t="n">
        <f aca="false">J50</f>
        <v>43750</v>
      </c>
      <c r="M50" s="40"/>
      <c r="N50" s="41"/>
      <c r="O50" s="42"/>
      <c r="P50" s="43"/>
      <c r="Q50" s="44"/>
      <c r="R50" s="45"/>
      <c r="S50" s="46" t="s">
        <v>115</v>
      </c>
      <c r="T50" s="13" t="n">
        <f aca="false">L50</f>
        <v>43750</v>
      </c>
      <c r="U50" s="13" t="n">
        <f aca="false">IF(N50&lt;&gt;"",N50,T50)</f>
        <v>43750</v>
      </c>
      <c r="V50" s="13" t="n">
        <f aca="false">IF(P50&lt;&gt;"",P50,U50)</f>
        <v>43750</v>
      </c>
      <c r="W50" s="13" t="n">
        <f aca="false">IF(R50&lt;&gt;"",R50,V50)</f>
        <v>43750</v>
      </c>
      <c r="X50" s="13" t="n">
        <f aca="false">IFERROR(INDEX(T50:W50,MATCH(S50,{"Lyx","Premium","Medium","Basic"},0)),T50)</f>
        <v>43750</v>
      </c>
    </row>
    <row r="51" customFormat="false" ht="15" hidden="false" customHeight="false" outlineLevel="0" collapsed="false">
      <c r="A51" s="10" t="s">
        <v>52</v>
      </c>
      <c r="B51" s="10" t="s">
        <v>53</v>
      </c>
      <c r="C51" s="35" t="s">
        <v>186</v>
      </c>
      <c r="D51" s="35" t="s">
        <v>187</v>
      </c>
      <c r="E51" s="10" t="s">
        <v>111</v>
      </c>
      <c r="F51" s="10" t="s">
        <v>188</v>
      </c>
      <c r="G51" s="36" t="n">
        <v>240</v>
      </c>
      <c r="H51" s="10" t="s">
        <v>113</v>
      </c>
      <c r="I51" s="37" t="n">
        <v>812.5</v>
      </c>
      <c r="J51" s="13" t="n">
        <f aca="false">G51*I51</f>
        <v>195000</v>
      </c>
      <c r="K51" s="38" t="s">
        <v>114</v>
      </c>
      <c r="L51" s="39" t="n">
        <f aca="false">J51</f>
        <v>195000</v>
      </c>
      <c r="M51" s="40"/>
      <c r="N51" s="41"/>
      <c r="O51" s="42"/>
      <c r="P51" s="43"/>
      <c r="Q51" s="44"/>
      <c r="R51" s="45"/>
      <c r="S51" s="46" t="s">
        <v>115</v>
      </c>
      <c r="T51" s="13" t="n">
        <f aca="false">L51</f>
        <v>195000</v>
      </c>
      <c r="U51" s="13" t="n">
        <f aca="false">IF(N51&lt;&gt;"",N51,T51)</f>
        <v>195000</v>
      </c>
      <c r="V51" s="13" t="n">
        <f aca="false">IF(P51&lt;&gt;"",P51,U51)</f>
        <v>195000</v>
      </c>
      <c r="W51" s="13" t="n">
        <f aca="false">IF(R51&lt;&gt;"",R51,V51)</f>
        <v>195000</v>
      </c>
      <c r="X51" s="13" t="n">
        <f aca="false">IFERROR(INDEX(T51:W51,MATCH(S51,{"Lyx","Premium","Medium","Basic"},0)),T51)</f>
        <v>195000</v>
      </c>
    </row>
    <row r="52" customFormat="false" ht="15" hidden="false" customHeight="false" outlineLevel="0" collapsed="false">
      <c r="A52" s="10" t="s">
        <v>52</v>
      </c>
      <c r="B52" s="10" t="s">
        <v>53</v>
      </c>
      <c r="C52" s="35" t="s">
        <v>189</v>
      </c>
      <c r="D52" s="35"/>
      <c r="E52" s="10" t="s">
        <v>111</v>
      </c>
      <c r="F52" s="10" t="s">
        <v>112</v>
      </c>
      <c r="G52" s="36" t="n">
        <v>64</v>
      </c>
      <c r="H52" s="10" t="s">
        <v>113</v>
      </c>
      <c r="I52" s="37" t="n">
        <v>650</v>
      </c>
      <c r="J52" s="13" t="n">
        <f aca="false">G52*I52</f>
        <v>41600</v>
      </c>
      <c r="K52" s="38" t="s">
        <v>114</v>
      </c>
      <c r="L52" s="39" t="n">
        <f aca="false">J52</f>
        <v>41600</v>
      </c>
      <c r="M52" s="40"/>
      <c r="N52" s="41"/>
      <c r="O52" s="42"/>
      <c r="P52" s="43"/>
      <c r="Q52" s="44"/>
      <c r="R52" s="45"/>
      <c r="S52" s="46" t="s">
        <v>115</v>
      </c>
      <c r="T52" s="13" t="n">
        <f aca="false">L52</f>
        <v>41600</v>
      </c>
      <c r="U52" s="13" t="n">
        <f aca="false">IF(N52&lt;&gt;"",N52,T52)</f>
        <v>41600</v>
      </c>
      <c r="V52" s="13" t="n">
        <f aca="false">IF(P52&lt;&gt;"",P52,U52)</f>
        <v>41600</v>
      </c>
      <c r="W52" s="13" t="n">
        <f aca="false">IF(R52&lt;&gt;"",R52,V52)</f>
        <v>41600</v>
      </c>
      <c r="X52" s="13" t="n">
        <f aca="false">IFERROR(INDEX(T52:W52,MATCH(S52,{"Lyx","Premium","Medium","Basic"},0)),T52)</f>
        <v>41600</v>
      </c>
    </row>
    <row r="53" customFormat="false" ht="15" hidden="false" customHeight="false" outlineLevel="0" collapsed="false">
      <c r="A53" s="10" t="s">
        <v>52</v>
      </c>
      <c r="B53" s="10" t="s">
        <v>53</v>
      </c>
      <c r="C53" s="35" t="s">
        <v>190</v>
      </c>
      <c r="D53" s="35"/>
      <c r="E53" s="10" t="s">
        <v>143</v>
      </c>
      <c r="F53" s="10" t="s">
        <v>112</v>
      </c>
      <c r="G53" s="36" t="n">
        <v>220</v>
      </c>
      <c r="H53" s="10" t="s">
        <v>191</v>
      </c>
      <c r="I53" s="37" t="n">
        <v>125</v>
      </c>
      <c r="J53" s="13" t="n">
        <f aca="false">G53*I53</f>
        <v>27500</v>
      </c>
      <c r="K53" s="38" t="s">
        <v>114</v>
      </c>
      <c r="L53" s="39" t="n">
        <f aca="false">J53</f>
        <v>27500</v>
      </c>
      <c r="M53" s="40"/>
      <c r="N53" s="41"/>
      <c r="O53" s="42"/>
      <c r="P53" s="43"/>
      <c r="Q53" s="44"/>
      <c r="R53" s="45"/>
      <c r="S53" s="46" t="s">
        <v>115</v>
      </c>
      <c r="T53" s="13" t="n">
        <f aca="false">L53</f>
        <v>27500</v>
      </c>
      <c r="U53" s="13" t="n">
        <f aca="false">IF(N53&lt;&gt;"",N53,T53)</f>
        <v>27500</v>
      </c>
      <c r="V53" s="13" t="n">
        <f aca="false">IF(P53&lt;&gt;"",P53,U53)</f>
        <v>27500</v>
      </c>
      <c r="W53" s="13" t="n">
        <f aca="false">IF(R53&lt;&gt;"",R53,V53)</f>
        <v>27500</v>
      </c>
      <c r="X53" s="13" t="n">
        <f aca="false">IFERROR(INDEX(T53:W53,MATCH(S53,{"Lyx","Premium","Medium","Basic"},0)),T53)</f>
        <v>27500</v>
      </c>
    </row>
    <row r="54" customFormat="false" ht="15" hidden="false" customHeight="false" outlineLevel="0" collapsed="false">
      <c r="A54" s="10" t="s">
        <v>52</v>
      </c>
      <c r="B54" s="10" t="s">
        <v>53</v>
      </c>
      <c r="C54" s="35" t="s">
        <v>192</v>
      </c>
      <c r="D54" s="35"/>
      <c r="E54" s="10" t="s">
        <v>111</v>
      </c>
      <c r="F54" s="10" t="s">
        <v>112</v>
      </c>
      <c r="G54" s="36" t="n">
        <v>32</v>
      </c>
      <c r="H54" s="10" t="s">
        <v>113</v>
      </c>
      <c r="I54" s="37" t="n">
        <v>650</v>
      </c>
      <c r="J54" s="13" t="n">
        <f aca="false">G54*I54</f>
        <v>20800</v>
      </c>
      <c r="K54" s="38" t="s">
        <v>114</v>
      </c>
      <c r="L54" s="39" t="n">
        <f aca="false">J54</f>
        <v>20800</v>
      </c>
      <c r="M54" s="40"/>
      <c r="N54" s="41"/>
      <c r="O54" s="42"/>
      <c r="P54" s="43"/>
      <c r="Q54" s="44"/>
      <c r="R54" s="45"/>
      <c r="S54" s="46" t="s">
        <v>115</v>
      </c>
      <c r="T54" s="13" t="n">
        <f aca="false">L54</f>
        <v>20800</v>
      </c>
      <c r="U54" s="13" t="n">
        <f aca="false">IF(N54&lt;&gt;"",N54,T54)</f>
        <v>20800</v>
      </c>
      <c r="V54" s="13" t="n">
        <f aca="false">IF(P54&lt;&gt;"",P54,U54)</f>
        <v>20800</v>
      </c>
      <c r="W54" s="13" t="n">
        <f aca="false">IF(R54&lt;&gt;"",R54,V54)</f>
        <v>20800</v>
      </c>
      <c r="X54" s="13" t="n">
        <f aca="false">IFERROR(INDEX(T54:W54,MATCH(S54,{"Lyx","Premium","Medium","Basic"},0)),T54)</f>
        <v>20800</v>
      </c>
    </row>
    <row r="55" customFormat="false" ht="15" hidden="false" customHeight="false" outlineLevel="0" collapsed="false">
      <c r="A55" s="10" t="s">
        <v>52</v>
      </c>
      <c r="B55" s="10" t="s">
        <v>53</v>
      </c>
      <c r="C55" s="35" t="s">
        <v>193</v>
      </c>
      <c r="D55" s="35" t="s">
        <v>194</v>
      </c>
      <c r="E55" s="10" t="s">
        <v>143</v>
      </c>
      <c r="F55" s="10" t="s">
        <v>112</v>
      </c>
      <c r="G55" s="10"/>
      <c r="H55" s="10"/>
      <c r="I55" s="10"/>
      <c r="J55" s="11" t="n">
        <v>0</v>
      </c>
      <c r="K55" s="38" t="s">
        <v>114</v>
      </c>
      <c r="L55" s="39" t="n">
        <f aca="false">J55</f>
        <v>0</v>
      </c>
      <c r="M55" s="40"/>
      <c r="N55" s="41"/>
      <c r="O55" s="42"/>
      <c r="P55" s="43"/>
      <c r="Q55" s="44"/>
      <c r="R55" s="45"/>
      <c r="S55" s="46" t="s">
        <v>115</v>
      </c>
      <c r="T55" s="13" t="n">
        <f aca="false">L55</f>
        <v>0</v>
      </c>
      <c r="U55" s="13" t="n">
        <f aca="false">IF(N55&lt;&gt;"",N55,T55)</f>
        <v>0</v>
      </c>
      <c r="V55" s="13" t="n">
        <f aca="false">IF(P55&lt;&gt;"",P55,U55)</f>
        <v>0</v>
      </c>
      <c r="W55" s="13" t="n">
        <f aca="false">IF(R55&lt;&gt;"",R55,V55)</f>
        <v>0</v>
      </c>
      <c r="X55" s="13" t="n">
        <f aca="false">IFERROR(INDEX(T55:W55,MATCH(S55,{"Lyx","Premium","Medium","Basic"},0)),T55)</f>
        <v>0</v>
      </c>
    </row>
    <row r="56" customFormat="false" ht="23.85" hidden="false" customHeight="false" outlineLevel="0" collapsed="false">
      <c r="A56" s="10" t="s">
        <v>52</v>
      </c>
      <c r="B56" s="10" t="s">
        <v>53</v>
      </c>
      <c r="C56" s="35" t="s">
        <v>195</v>
      </c>
      <c r="D56" s="35" t="s">
        <v>196</v>
      </c>
      <c r="E56" s="10" t="s">
        <v>143</v>
      </c>
      <c r="F56" s="10" t="s">
        <v>188</v>
      </c>
      <c r="G56" s="10"/>
      <c r="H56" s="10"/>
      <c r="I56" s="10"/>
      <c r="J56" s="11" t="n">
        <v>1525622.5</v>
      </c>
      <c r="K56" s="38" t="s">
        <v>114</v>
      </c>
      <c r="L56" s="39" t="n">
        <f aca="false">J56</f>
        <v>1525622.5</v>
      </c>
      <c r="M56" s="40"/>
      <c r="N56" s="41"/>
      <c r="O56" s="42"/>
      <c r="P56" s="43"/>
      <c r="Q56" s="44"/>
      <c r="R56" s="45"/>
      <c r="S56" s="46" t="s">
        <v>115</v>
      </c>
      <c r="T56" s="13" t="n">
        <f aca="false">L56</f>
        <v>1525622.5</v>
      </c>
      <c r="U56" s="13" t="n">
        <f aca="false">IF(N56&lt;&gt;"",N56,T56)</f>
        <v>1525622.5</v>
      </c>
      <c r="V56" s="13" t="n">
        <f aca="false">IF(P56&lt;&gt;"",P56,U56)</f>
        <v>1525622.5</v>
      </c>
      <c r="W56" s="13" t="n">
        <f aca="false">IF(R56&lt;&gt;"",R56,V56)</f>
        <v>1525622.5</v>
      </c>
      <c r="X56" s="13" t="n">
        <f aca="false">IFERROR(INDEX(T56:W56,MATCH(S56,{"Lyx","Premium","Medium","Basic"},0)),T56)</f>
        <v>1525622.5</v>
      </c>
    </row>
    <row r="57" customFormat="false" ht="15" hidden="false" customHeight="false" outlineLevel="0" collapsed="false">
      <c r="A57" s="10" t="s">
        <v>52</v>
      </c>
      <c r="B57" s="10" t="s">
        <v>53</v>
      </c>
      <c r="C57" s="35" t="s">
        <v>197</v>
      </c>
      <c r="D57" s="35"/>
      <c r="E57" s="10" t="s">
        <v>143</v>
      </c>
      <c r="F57" s="10" t="s">
        <v>112</v>
      </c>
      <c r="G57" s="36" t="n">
        <v>6</v>
      </c>
      <c r="H57" s="10" t="s">
        <v>176</v>
      </c>
      <c r="I57" s="37" t="n">
        <v>2875</v>
      </c>
      <c r="J57" s="13" t="n">
        <f aca="false">G57*I57</f>
        <v>17250</v>
      </c>
      <c r="K57" s="38" t="s">
        <v>114</v>
      </c>
      <c r="L57" s="39" t="n">
        <f aca="false">J57</f>
        <v>17250</v>
      </c>
      <c r="M57" s="40"/>
      <c r="N57" s="41"/>
      <c r="O57" s="42"/>
      <c r="P57" s="43"/>
      <c r="Q57" s="44"/>
      <c r="R57" s="45"/>
      <c r="S57" s="46" t="s">
        <v>115</v>
      </c>
      <c r="T57" s="13" t="n">
        <f aca="false">L57</f>
        <v>17250</v>
      </c>
      <c r="U57" s="13" t="n">
        <f aca="false">IF(N57&lt;&gt;"",N57,T57)</f>
        <v>17250</v>
      </c>
      <c r="V57" s="13" t="n">
        <f aca="false">IF(P57&lt;&gt;"",P57,U57)</f>
        <v>17250</v>
      </c>
      <c r="W57" s="13" t="n">
        <f aca="false">IF(R57&lt;&gt;"",R57,V57)</f>
        <v>17250</v>
      </c>
      <c r="X57" s="13" t="n">
        <f aca="false">IFERROR(INDEX(T57:W57,MATCH(S57,{"Lyx","Premium","Medium","Basic"},0)),T57)</f>
        <v>17250</v>
      </c>
    </row>
    <row r="58" customFormat="false" ht="15" hidden="false" customHeight="false" outlineLevel="0" collapsed="false">
      <c r="A58" s="31" t="s">
        <v>54</v>
      </c>
      <c r="B58" s="31" t="s">
        <v>55</v>
      </c>
      <c r="C58" s="32"/>
      <c r="D58" s="32"/>
      <c r="E58" s="33"/>
      <c r="F58" s="33"/>
      <c r="G58" s="33"/>
      <c r="H58" s="33"/>
      <c r="I58" s="33"/>
      <c r="J58" s="34"/>
      <c r="K58" s="32"/>
      <c r="L58" s="34"/>
      <c r="M58" s="32"/>
      <c r="N58" s="34"/>
      <c r="O58" s="32"/>
      <c r="P58" s="34"/>
      <c r="Q58" s="32"/>
      <c r="R58" s="34"/>
      <c r="S58" s="33"/>
      <c r="T58" s="34"/>
      <c r="U58" s="34"/>
      <c r="V58" s="34"/>
      <c r="W58" s="34"/>
      <c r="X58" s="34"/>
    </row>
    <row r="59" customFormat="false" ht="15" hidden="false" customHeight="false" outlineLevel="0" collapsed="false">
      <c r="A59" s="10" t="s">
        <v>54</v>
      </c>
      <c r="B59" s="10" t="s">
        <v>55</v>
      </c>
      <c r="C59" s="35" t="s">
        <v>198</v>
      </c>
      <c r="D59" s="35"/>
      <c r="E59" s="10" t="s">
        <v>143</v>
      </c>
      <c r="F59" s="10" t="s">
        <v>169</v>
      </c>
      <c r="G59" s="10"/>
      <c r="H59" s="10"/>
      <c r="I59" s="10"/>
      <c r="J59" s="11" t="n">
        <v>31360</v>
      </c>
      <c r="K59" s="38" t="s">
        <v>114</v>
      </c>
      <c r="L59" s="39" t="n">
        <f aca="false">J59</f>
        <v>31360</v>
      </c>
      <c r="M59" s="40"/>
      <c r="N59" s="41"/>
      <c r="O59" s="42"/>
      <c r="P59" s="43"/>
      <c r="Q59" s="44"/>
      <c r="R59" s="45"/>
      <c r="S59" s="46" t="s">
        <v>115</v>
      </c>
      <c r="T59" s="13" t="n">
        <f aca="false">L59</f>
        <v>31360</v>
      </c>
      <c r="U59" s="13" t="n">
        <f aca="false">IF(N59&lt;&gt;"",N59,T59)</f>
        <v>31360</v>
      </c>
      <c r="V59" s="13" t="n">
        <f aca="false">IF(P59&lt;&gt;"",P59,U59)</f>
        <v>31360</v>
      </c>
      <c r="W59" s="13" t="n">
        <f aca="false">IF(R59&lt;&gt;"",R59,V59)</f>
        <v>31360</v>
      </c>
      <c r="X59" s="13" t="n">
        <f aca="false">IFERROR(INDEX(T59:W59,MATCH(S59,{"Lyx","Premium","Medium","Basic"},0)),T59)</f>
        <v>31360</v>
      </c>
    </row>
    <row r="60" customFormat="false" ht="15" hidden="false" customHeight="false" outlineLevel="0" collapsed="false">
      <c r="A60" s="10" t="s">
        <v>54</v>
      </c>
      <c r="B60" s="10" t="s">
        <v>55</v>
      </c>
      <c r="C60" s="35" t="s">
        <v>199</v>
      </c>
      <c r="D60" s="35"/>
      <c r="E60" s="10" t="s">
        <v>143</v>
      </c>
      <c r="F60" s="10" t="s">
        <v>169</v>
      </c>
      <c r="G60" s="10"/>
      <c r="H60" s="10"/>
      <c r="I60" s="10"/>
      <c r="J60" s="11" t="n">
        <v>22260</v>
      </c>
      <c r="K60" s="38" t="s">
        <v>114</v>
      </c>
      <c r="L60" s="39" t="n">
        <f aca="false">J60</f>
        <v>22260</v>
      </c>
      <c r="M60" s="40"/>
      <c r="N60" s="41"/>
      <c r="O60" s="42"/>
      <c r="P60" s="43"/>
      <c r="Q60" s="44"/>
      <c r="R60" s="45"/>
      <c r="S60" s="46" t="s">
        <v>115</v>
      </c>
      <c r="T60" s="13" t="n">
        <f aca="false">L60</f>
        <v>22260</v>
      </c>
      <c r="U60" s="13" t="n">
        <f aca="false">IF(N60&lt;&gt;"",N60,T60)</f>
        <v>22260</v>
      </c>
      <c r="V60" s="13" t="n">
        <f aca="false">IF(P60&lt;&gt;"",P60,U60)</f>
        <v>22260</v>
      </c>
      <c r="W60" s="13" t="n">
        <f aca="false">IF(R60&lt;&gt;"",R60,V60)</f>
        <v>22260</v>
      </c>
      <c r="X60" s="13" t="n">
        <f aca="false">IFERROR(INDEX(T60:W60,MATCH(S60,{"Lyx","Premium","Medium","Basic"},0)),T60)</f>
        <v>22260</v>
      </c>
    </row>
    <row r="61" customFormat="false" ht="23.85" hidden="false" customHeight="false" outlineLevel="0" collapsed="false">
      <c r="A61" s="10" t="s">
        <v>54</v>
      </c>
      <c r="B61" s="10" t="s">
        <v>55</v>
      </c>
      <c r="C61" s="35" t="s">
        <v>200</v>
      </c>
      <c r="D61" s="35"/>
      <c r="E61" s="10" t="s">
        <v>143</v>
      </c>
      <c r="F61" s="10" t="s">
        <v>169</v>
      </c>
      <c r="G61" s="10"/>
      <c r="H61" s="10"/>
      <c r="I61" s="10"/>
      <c r="J61" s="11" t="n">
        <v>65520</v>
      </c>
      <c r="K61" s="38" t="s">
        <v>114</v>
      </c>
      <c r="L61" s="39" t="n">
        <f aca="false">J61</f>
        <v>65520</v>
      </c>
      <c r="M61" s="40"/>
      <c r="N61" s="41"/>
      <c r="O61" s="42"/>
      <c r="P61" s="43"/>
      <c r="Q61" s="44"/>
      <c r="R61" s="45"/>
      <c r="S61" s="46" t="s">
        <v>115</v>
      </c>
      <c r="T61" s="13" t="n">
        <f aca="false">L61</f>
        <v>65520</v>
      </c>
      <c r="U61" s="13" t="n">
        <f aca="false">IF(N61&lt;&gt;"",N61,T61)</f>
        <v>65520</v>
      </c>
      <c r="V61" s="13" t="n">
        <f aca="false">IF(P61&lt;&gt;"",P61,U61)</f>
        <v>65520</v>
      </c>
      <c r="W61" s="13" t="n">
        <f aca="false">IF(R61&lt;&gt;"",R61,V61)</f>
        <v>65520</v>
      </c>
      <c r="X61" s="13" t="n">
        <f aca="false">IFERROR(INDEX(T61:W61,MATCH(S61,{"Lyx","Premium","Medium","Basic"},0)),T61)</f>
        <v>65520</v>
      </c>
    </row>
    <row r="62" customFormat="false" ht="15" hidden="false" customHeight="false" outlineLevel="0" collapsed="false">
      <c r="A62" s="10" t="s">
        <v>54</v>
      </c>
      <c r="B62" s="10" t="s">
        <v>55</v>
      </c>
      <c r="C62" s="35" t="s">
        <v>201</v>
      </c>
      <c r="D62" s="35"/>
      <c r="E62" s="10" t="s">
        <v>143</v>
      </c>
      <c r="F62" s="10" t="s">
        <v>169</v>
      </c>
      <c r="G62" s="10"/>
      <c r="H62" s="10"/>
      <c r="I62" s="10"/>
      <c r="J62" s="11" t="n">
        <v>33600</v>
      </c>
      <c r="K62" s="38" t="s">
        <v>114</v>
      </c>
      <c r="L62" s="39" t="n">
        <f aca="false">J62</f>
        <v>33600</v>
      </c>
      <c r="M62" s="40"/>
      <c r="N62" s="41"/>
      <c r="O62" s="42"/>
      <c r="P62" s="43"/>
      <c r="Q62" s="44"/>
      <c r="R62" s="45"/>
      <c r="S62" s="46" t="s">
        <v>115</v>
      </c>
      <c r="T62" s="13" t="n">
        <f aca="false">L62</f>
        <v>33600</v>
      </c>
      <c r="U62" s="13" t="n">
        <f aca="false">IF(N62&lt;&gt;"",N62,T62)</f>
        <v>33600</v>
      </c>
      <c r="V62" s="13" t="n">
        <f aca="false">IF(P62&lt;&gt;"",P62,U62)</f>
        <v>33600</v>
      </c>
      <c r="W62" s="13" t="n">
        <f aca="false">IF(R62&lt;&gt;"",R62,V62)</f>
        <v>33600</v>
      </c>
      <c r="X62" s="13" t="n">
        <f aca="false">IFERROR(INDEX(T62:W62,MATCH(S62,{"Lyx","Premium","Medium","Basic"},0)),T62)</f>
        <v>33600</v>
      </c>
    </row>
    <row r="63" customFormat="false" ht="15" hidden="false" customHeight="false" outlineLevel="0" collapsed="false">
      <c r="A63" s="10" t="s">
        <v>54</v>
      </c>
      <c r="B63" s="10" t="s">
        <v>55</v>
      </c>
      <c r="C63" s="35" t="s">
        <v>202</v>
      </c>
      <c r="D63" s="35"/>
      <c r="E63" s="10" t="s">
        <v>143</v>
      </c>
      <c r="F63" s="10" t="s">
        <v>169</v>
      </c>
      <c r="G63" s="10"/>
      <c r="H63" s="10"/>
      <c r="I63" s="10"/>
      <c r="J63" s="11" t="n">
        <v>19572.5</v>
      </c>
      <c r="K63" s="38" t="s">
        <v>114</v>
      </c>
      <c r="L63" s="39" t="n">
        <f aca="false">J63</f>
        <v>19572.5</v>
      </c>
      <c r="M63" s="40"/>
      <c r="N63" s="41"/>
      <c r="O63" s="42"/>
      <c r="P63" s="43"/>
      <c r="Q63" s="44"/>
      <c r="R63" s="45"/>
      <c r="S63" s="46" t="s">
        <v>115</v>
      </c>
      <c r="T63" s="13" t="n">
        <f aca="false">L63</f>
        <v>19572.5</v>
      </c>
      <c r="U63" s="13" t="n">
        <f aca="false">IF(N63&lt;&gt;"",N63,T63)</f>
        <v>19572.5</v>
      </c>
      <c r="V63" s="13" t="n">
        <f aca="false">IF(P63&lt;&gt;"",P63,U63)</f>
        <v>19572.5</v>
      </c>
      <c r="W63" s="13" t="n">
        <f aca="false">IF(R63&lt;&gt;"",R63,V63)</f>
        <v>19572.5</v>
      </c>
      <c r="X63" s="13" t="n">
        <f aca="false">IFERROR(INDEX(T63:W63,MATCH(S63,{"Lyx","Premium","Medium","Basic"},0)),T63)</f>
        <v>19572.5</v>
      </c>
    </row>
    <row r="64" customFormat="false" ht="15" hidden="false" customHeight="false" outlineLevel="0" collapsed="false">
      <c r="A64" s="10" t="s">
        <v>54</v>
      </c>
      <c r="B64" s="10" t="s">
        <v>55</v>
      </c>
      <c r="C64" s="35" t="s">
        <v>203</v>
      </c>
      <c r="D64" s="35"/>
      <c r="E64" s="10" t="s">
        <v>143</v>
      </c>
      <c r="F64" s="10" t="s">
        <v>169</v>
      </c>
      <c r="G64" s="10"/>
      <c r="H64" s="10"/>
      <c r="I64" s="10"/>
      <c r="J64" s="11" t="n">
        <v>22260</v>
      </c>
      <c r="K64" s="38" t="s">
        <v>114</v>
      </c>
      <c r="L64" s="39" t="n">
        <f aca="false">J64</f>
        <v>22260</v>
      </c>
      <c r="M64" s="40"/>
      <c r="N64" s="41"/>
      <c r="O64" s="42"/>
      <c r="P64" s="43"/>
      <c r="Q64" s="44"/>
      <c r="R64" s="45"/>
      <c r="S64" s="46" t="s">
        <v>115</v>
      </c>
      <c r="T64" s="13" t="n">
        <f aca="false">L64</f>
        <v>22260</v>
      </c>
      <c r="U64" s="13" t="n">
        <f aca="false">IF(N64&lt;&gt;"",N64,T64)</f>
        <v>22260</v>
      </c>
      <c r="V64" s="13" t="n">
        <f aca="false">IF(P64&lt;&gt;"",P64,U64)</f>
        <v>22260</v>
      </c>
      <c r="W64" s="13" t="n">
        <f aca="false">IF(R64&lt;&gt;"",R64,V64)</f>
        <v>22260</v>
      </c>
      <c r="X64" s="13" t="n">
        <f aca="false">IFERROR(INDEX(T64:W64,MATCH(S64,{"Lyx","Premium","Medium","Basic"},0)),T64)</f>
        <v>22260</v>
      </c>
    </row>
    <row r="65" customFormat="false" ht="15" hidden="false" customHeight="false" outlineLevel="0" collapsed="false">
      <c r="A65" s="31" t="s">
        <v>56</v>
      </c>
      <c r="B65" s="31" t="s">
        <v>57</v>
      </c>
      <c r="C65" s="32"/>
      <c r="D65" s="32"/>
      <c r="E65" s="33"/>
      <c r="F65" s="33"/>
      <c r="G65" s="33"/>
      <c r="H65" s="33"/>
      <c r="I65" s="33"/>
      <c r="J65" s="34"/>
      <c r="K65" s="32"/>
      <c r="L65" s="34"/>
      <c r="M65" s="32"/>
      <c r="N65" s="34"/>
      <c r="O65" s="32"/>
      <c r="P65" s="34"/>
      <c r="Q65" s="32"/>
      <c r="R65" s="34"/>
      <c r="S65" s="33"/>
      <c r="T65" s="34"/>
      <c r="U65" s="34"/>
      <c r="V65" s="34"/>
      <c r="W65" s="34"/>
      <c r="X65" s="34"/>
    </row>
    <row r="66" customFormat="false" ht="15" hidden="false" customHeight="false" outlineLevel="0" collapsed="false">
      <c r="A66" s="10" t="s">
        <v>56</v>
      </c>
      <c r="B66" s="10" t="s">
        <v>57</v>
      </c>
      <c r="C66" s="35" t="s">
        <v>204</v>
      </c>
      <c r="D66" s="35" t="s">
        <v>205</v>
      </c>
      <c r="E66" s="10" t="s">
        <v>118</v>
      </c>
      <c r="F66" s="10" t="s">
        <v>125</v>
      </c>
      <c r="G66" s="10"/>
      <c r="H66" s="10"/>
      <c r="I66" s="10"/>
      <c r="J66" s="11" t="n">
        <v>211900</v>
      </c>
      <c r="K66" s="38" t="s">
        <v>114</v>
      </c>
      <c r="L66" s="39" t="n">
        <f aca="false">J66</f>
        <v>211900</v>
      </c>
      <c r="M66" s="40"/>
      <c r="N66" s="41"/>
      <c r="O66" s="42"/>
      <c r="P66" s="43"/>
      <c r="Q66" s="44"/>
      <c r="R66" s="45"/>
      <c r="S66" s="46" t="s">
        <v>115</v>
      </c>
      <c r="T66" s="13" t="n">
        <f aca="false">L66</f>
        <v>211900</v>
      </c>
      <c r="U66" s="13" t="n">
        <f aca="false">IF(N66&lt;&gt;"",N66,T66)</f>
        <v>211900</v>
      </c>
      <c r="V66" s="13" t="n">
        <f aca="false">IF(P66&lt;&gt;"",P66,U66)</f>
        <v>211900</v>
      </c>
      <c r="W66" s="13" t="n">
        <f aca="false">IF(R66&lt;&gt;"",R66,V66)</f>
        <v>211900</v>
      </c>
      <c r="X66" s="13" t="n">
        <f aca="false">IFERROR(INDEX(T66:W66,MATCH(S66,{"Lyx","Premium","Medium","Basic"},0)),T66)</f>
        <v>211900</v>
      </c>
    </row>
    <row r="67" customFormat="false" ht="23.85" hidden="false" customHeight="false" outlineLevel="0" collapsed="false">
      <c r="A67" s="10" t="s">
        <v>56</v>
      </c>
      <c r="B67" s="10" t="s">
        <v>57</v>
      </c>
      <c r="C67" s="35" t="s">
        <v>206</v>
      </c>
      <c r="D67" s="35"/>
      <c r="E67" s="10" t="s">
        <v>143</v>
      </c>
      <c r="F67" s="10" t="s">
        <v>125</v>
      </c>
      <c r="G67" s="10"/>
      <c r="H67" s="10"/>
      <c r="I67" s="10"/>
      <c r="J67" s="11" t="n">
        <v>15400</v>
      </c>
      <c r="K67" s="38" t="s">
        <v>114</v>
      </c>
      <c r="L67" s="39" t="n">
        <f aca="false">J67</f>
        <v>15400</v>
      </c>
      <c r="M67" s="40"/>
      <c r="N67" s="41"/>
      <c r="O67" s="42"/>
      <c r="P67" s="43"/>
      <c r="Q67" s="44"/>
      <c r="R67" s="45"/>
      <c r="S67" s="46" t="s">
        <v>115</v>
      </c>
      <c r="T67" s="13" t="n">
        <f aca="false">L67</f>
        <v>15400</v>
      </c>
      <c r="U67" s="13" t="n">
        <f aca="false">IF(N67&lt;&gt;"",N67,T67)</f>
        <v>15400</v>
      </c>
      <c r="V67" s="13" t="n">
        <f aca="false">IF(P67&lt;&gt;"",P67,U67)</f>
        <v>15400</v>
      </c>
      <c r="W67" s="13" t="n">
        <f aca="false">IF(R67&lt;&gt;"",R67,V67)</f>
        <v>15400</v>
      </c>
      <c r="X67" s="13" t="n">
        <f aca="false">IFERROR(INDEX(T67:W67,MATCH(S67,{"Lyx","Premium","Medium","Basic"},0)),T67)</f>
        <v>15400</v>
      </c>
    </row>
    <row r="68" customFormat="false" ht="57.45" hidden="false" customHeight="false" outlineLevel="0" collapsed="false">
      <c r="A68" s="10" t="s">
        <v>56</v>
      </c>
      <c r="B68" s="10" t="s">
        <v>57</v>
      </c>
      <c r="C68" s="35" t="s">
        <v>207</v>
      </c>
      <c r="D68" s="35" t="s">
        <v>208</v>
      </c>
      <c r="E68" s="10" t="s">
        <v>143</v>
      </c>
      <c r="F68" s="10" t="s">
        <v>125</v>
      </c>
      <c r="G68" s="10"/>
      <c r="H68" s="10"/>
      <c r="I68" s="10"/>
      <c r="J68" s="13"/>
      <c r="K68" s="38" t="s">
        <v>209</v>
      </c>
      <c r="L68" s="47" t="n">
        <v>600000</v>
      </c>
      <c r="M68" s="40" t="s">
        <v>210</v>
      </c>
      <c r="N68" s="48" t="n">
        <v>378000</v>
      </c>
      <c r="O68" s="42" t="s">
        <v>211</v>
      </c>
      <c r="P68" s="49" t="n">
        <v>57250</v>
      </c>
      <c r="Q68" s="44"/>
      <c r="R68" s="45"/>
      <c r="S68" s="46" t="s">
        <v>212</v>
      </c>
      <c r="T68" s="13" t="n">
        <f aca="false">L68</f>
        <v>600000</v>
      </c>
      <c r="U68" s="13" t="n">
        <f aca="false">IF(N68&lt;&gt;"",N68,T68)</f>
        <v>378000</v>
      </c>
      <c r="V68" s="13" t="n">
        <f aca="false">IF(P68&lt;&gt;"",P68,U68)</f>
        <v>57250</v>
      </c>
      <c r="W68" s="13" t="n">
        <f aca="false">IF(R68&lt;&gt;"",R68,V68)</f>
        <v>57250</v>
      </c>
      <c r="X68" s="13" t="n">
        <f aca="false">IFERROR(INDEX(T68:W68,MATCH(S68,{"Lyx","Premium","Medium","Basic"},0)),T68)</f>
        <v>57250</v>
      </c>
    </row>
    <row r="69" customFormat="false" ht="15" hidden="false" customHeight="false" outlineLevel="0" collapsed="false">
      <c r="A69" s="10" t="s">
        <v>56</v>
      </c>
      <c r="B69" s="10" t="s">
        <v>57</v>
      </c>
      <c r="C69" s="35" t="s">
        <v>213</v>
      </c>
      <c r="D69" s="35" t="s">
        <v>214</v>
      </c>
      <c r="E69" s="10" t="s">
        <v>143</v>
      </c>
      <c r="F69" s="10" t="s">
        <v>169</v>
      </c>
      <c r="G69" s="36" t="n">
        <v>700</v>
      </c>
      <c r="H69" s="10" t="s">
        <v>176</v>
      </c>
      <c r="I69" s="37" t="n">
        <v>150</v>
      </c>
      <c r="J69" s="13" t="n">
        <f aca="false">G69*I69</f>
        <v>105000</v>
      </c>
      <c r="K69" s="38" t="s">
        <v>114</v>
      </c>
      <c r="L69" s="39" t="n">
        <f aca="false">J69</f>
        <v>105000</v>
      </c>
      <c r="M69" s="40"/>
      <c r="N69" s="41"/>
      <c r="O69" s="42"/>
      <c r="P69" s="43"/>
      <c r="Q69" s="44"/>
      <c r="R69" s="45"/>
      <c r="S69" s="46" t="s">
        <v>115</v>
      </c>
      <c r="T69" s="13" t="n">
        <f aca="false">L69</f>
        <v>105000</v>
      </c>
      <c r="U69" s="13" t="n">
        <f aca="false">IF(N69&lt;&gt;"",N69,T69)</f>
        <v>105000</v>
      </c>
      <c r="V69" s="13" t="n">
        <f aca="false">IF(P69&lt;&gt;"",P69,U69)</f>
        <v>105000</v>
      </c>
      <c r="W69" s="13" t="n">
        <f aca="false">IF(R69&lt;&gt;"",R69,V69)</f>
        <v>105000</v>
      </c>
      <c r="X69" s="13" t="n">
        <f aca="false">IFERROR(INDEX(T69:W69,MATCH(S69,{"Lyx","Premium","Medium","Basic"},0)),T69)</f>
        <v>105000</v>
      </c>
    </row>
    <row r="70" customFormat="false" ht="15" hidden="false" customHeight="false" outlineLevel="0" collapsed="false">
      <c r="A70" s="10" t="s">
        <v>56</v>
      </c>
      <c r="B70" s="10" t="s">
        <v>57</v>
      </c>
      <c r="C70" s="35" t="s">
        <v>215</v>
      </c>
      <c r="D70" s="35"/>
      <c r="E70" s="10" t="s">
        <v>118</v>
      </c>
      <c r="F70" s="10" t="s">
        <v>144</v>
      </c>
      <c r="G70" s="10"/>
      <c r="H70" s="10"/>
      <c r="I70" s="10"/>
      <c r="J70" s="11" t="n">
        <v>77000</v>
      </c>
      <c r="K70" s="38" t="s">
        <v>114</v>
      </c>
      <c r="L70" s="39" t="n">
        <f aca="false">J70</f>
        <v>77000</v>
      </c>
      <c r="M70" s="40"/>
      <c r="N70" s="41"/>
      <c r="O70" s="42"/>
      <c r="P70" s="43"/>
      <c r="Q70" s="44"/>
      <c r="R70" s="45"/>
      <c r="S70" s="46" t="s">
        <v>115</v>
      </c>
      <c r="T70" s="13" t="n">
        <f aca="false">L70</f>
        <v>77000</v>
      </c>
      <c r="U70" s="13" t="n">
        <f aca="false">IF(N70&lt;&gt;"",N70,T70)</f>
        <v>77000</v>
      </c>
      <c r="V70" s="13" t="n">
        <f aca="false">IF(P70&lt;&gt;"",P70,U70)</f>
        <v>77000</v>
      </c>
      <c r="W70" s="13" t="n">
        <f aca="false">IF(R70&lt;&gt;"",R70,V70)</f>
        <v>77000</v>
      </c>
      <c r="X70" s="13" t="n">
        <f aca="false">IFERROR(INDEX(T70:W70,MATCH(S70,{"Lyx","Premium","Medium","Basic"},0)),T70)</f>
        <v>77000</v>
      </c>
    </row>
    <row r="71" customFormat="false" ht="23.85" hidden="false" customHeight="false" outlineLevel="0" collapsed="false">
      <c r="A71" s="10" t="s">
        <v>56</v>
      </c>
      <c r="B71" s="10" t="s">
        <v>57</v>
      </c>
      <c r="C71" s="35" t="s">
        <v>216</v>
      </c>
      <c r="D71" s="35"/>
      <c r="E71" s="10" t="s">
        <v>118</v>
      </c>
      <c r="F71" s="10" t="s">
        <v>169</v>
      </c>
      <c r="G71" s="10"/>
      <c r="H71" s="10"/>
      <c r="I71" s="10"/>
      <c r="J71" s="11" t="n">
        <v>28750</v>
      </c>
      <c r="K71" s="38" t="s">
        <v>114</v>
      </c>
      <c r="L71" s="39" t="n">
        <f aca="false">J71</f>
        <v>28750</v>
      </c>
      <c r="M71" s="40"/>
      <c r="N71" s="41"/>
      <c r="O71" s="42"/>
      <c r="P71" s="43"/>
      <c r="Q71" s="44"/>
      <c r="R71" s="45"/>
      <c r="S71" s="46" t="s">
        <v>115</v>
      </c>
      <c r="T71" s="13" t="n">
        <f aca="false">L71</f>
        <v>28750</v>
      </c>
      <c r="U71" s="13" t="n">
        <f aca="false">IF(N71&lt;&gt;"",N71,T71)</f>
        <v>28750</v>
      </c>
      <c r="V71" s="13" t="n">
        <f aca="false">IF(P71&lt;&gt;"",P71,U71)</f>
        <v>28750</v>
      </c>
      <c r="W71" s="13" t="n">
        <f aca="false">IF(R71&lt;&gt;"",R71,V71)</f>
        <v>28750</v>
      </c>
      <c r="X71" s="13" t="n">
        <f aca="false">IFERROR(INDEX(T71:W71,MATCH(S71,{"Lyx","Premium","Medium","Basic"},0)),T71)</f>
        <v>28750</v>
      </c>
    </row>
    <row r="72" customFormat="false" ht="15" hidden="false" customHeight="false" outlineLevel="0" collapsed="false">
      <c r="A72" s="10" t="s">
        <v>56</v>
      </c>
      <c r="B72" s="10" t="s">
        <v>57</v>
      </c>
      <c r="C72" s="35" t="s">
        <v>217</v>
      </c>
      <c r="D72" s="35" t="s">
        <v>187</v>
      </c>
      <c r="E72" s="10" t="s">
        <v>111</v>
      </c>
      <c r="F72" s="10" t="s">
        <v>169</v>
      </c>
      <c r="G72" s="36" t="n">
        <v>144</v>
      </c>
      <c r="H72" s="10" t="s">
        <v>113</v>
      </c>
      <c r="I72" s="37" t="n">
        <v>812.5</v>
      </c>
      <c r="J72" s="13" t="n">
        <f aca="false">G72*I72</f>
        <v>117000</v>
      </c>
      <c r="K72" s="38" t="s">
        <v>114</v>
      </c>
      <c r="L72" s="39" t="n">
        <f aca="false">J72</f>
        <v>117000</v>
      </c>
      <c r="M72" s="40"/>
      <c r="N72" s="41"/>
      <c r="O72" s="42"/>
      <c r="P72" s="43"/>
      <c r="Q72" s="44"/>
      <c r="R72" s="45"/>
      <c r="S72" s="46" t="s">
        <v>115</v>
      </c>
      <c r="T72" s="13" t="n">
        <f aca="false">L72</f>
        <v>117000</v>
      </c>
      <c r="U72" s="13" t="n">
        <f aca="false">IF(N72&lt;&gt;"",N72,T72)</f>
        <v>117000</v>
      </c>
      <c r="V72" s="13" t="n">
        <f aca="false">IF(P72&lt;&gt;"",P72,U72)</f>
        <v>117000</v>
      </c>
      <c r="W72" s="13" t="n">
        <f aca="false">IF(R72&lt;&gt;"",R72,V72)</f>
        <v>117000</v>
      </c>
      <c r="X72" s="13" t="n">
        <f aca="false">IFERROR(INDEX(T72:W72,MATCH(S72,{"Lyx","Premium","Medium","Basic"},0)),T72)</f>
        <v>117000</v>
      </c>
    </row>
    <row r="73" customFormat="false" ht="23.85" hidden="false" customHeight="false" outlineLevel="0" collapsed="false">
      <c r="A73" s="10" t="s">
        <v>56</v>
      </c>
      <c r="B73" s="10" t="s">
        <v>57</v>
      </c>
      <c r="C73" s="35" t="s">
        <v>218</v>
      </c>
      <c r="D73" s="35" t="s">
        <v>194</v>
      </c>
      <c r="E73" s="10" t="s">
        <v>143</v>
      </c>
      <c r="F73" s="10" t="s">
        <v>169</v>
      </c>
      <c r="G73" s="10"/>
      <c r="H73" s="10"/>
      <c r="I73" s="10"/>
      <c r="J73" s="11" t="n">
        <v>0</v>
      </c>
      <c r="K73" s="38" t="s">
        <v>114</v>
      </c>
      <c r="L73" s="39" t="n">
        <f aca="false">J73</f>
        <v>0</v>
      </c>
      <c r="M73" s="40"/>
      <c r="N73" s="41"/>
      <c r="O73" s="42"/>
      <c r="P73" s="43"/>
      <c r="Q73" s="44"/>
      <c r="R73" s="45"/>
      <c r="S73" s="46" t="s">
        <v>115</v>
      </c>
      <c r="T73" s="13" t="n">
        <f aca="false">L73</f>
        <v>0</v>
      </c>
      <c r="U73" s="13" t="n">
        <f aca="false">IF(N73&lt;&gt;"",N73,T73)</f>
        <v>0</v>
      </c>
      <c r="V73" s="13" t="n">
        <f aca="false">IF(P73&lt;&gt;"",P73,U73)</f>
        <v>0</v>
      </c>
      <c r="W73" s="13" t="n">
        <f aca="false">IF(R73&lt;&gt;"",R73,V73)</f>
        <v>0</v>
      </c>
      <c r="X73" s="13" t="n">
        <f aca="false">IFERROR(INDEX(T73:W73,MATCH(S73,{"Lyx","Premium","Medium","Basic"},0)),T73)</f>
        <v>0</v>
      </c>
    </row>
    <row r="74" customFormat="false" ht="15" hidden="false" customHeight="false" outlineLevel="0" collapsed="false">
      <c r="A74" s="10" t="s">
        <v>56</v>
      </c>
      <c r="B74" s="10" t="s">
        <v>57</v>
      </c>
      <c r="C74" s="35" t="s">
        <v>219</v>
      </c>
      <c r="D74" s="35" t="s">
        <v>220</v>
      </c>
      <c r="E74" s="10" t="s">
        <v>141</v>
      </c>
      <c r="F74" s="10" t="s">
        <v>112</v>
      </c>
      <c r="G74" s="10"/>
      <c r="H74" s="10"/>
      <c r="I74" s="10"/>
      <c r="J74" s="11" t="n">
        <v>0</v>
      </c>
      <c r="K74" s="38" t="s">
        <v>114</v>
      </c>
      <c r="L74" s="39" t="n">
        <f aca="false">J74</f>
        <v>0</v>
      </c>
      <c r="M74" s="40"/>
      <c r="N74" s="41"/>
      <c r="O74" s="42"/>
      <c r="P74" s="43"/>
      <c r="Q74" s="44"/>
      <c r="R74" s="45"/>
      <c r="S74" s="46" t="s">
        <v>115</v>
      </c>
      <c r="T74" s="13" t="n">
        <f aca="false">L74</f>
        <v>0</v>
      </c>
      <c r="U74" s="13" t="n">
        <f aca="false">IF(N74&lt;&gt;"",N74,T74)</f>
        <v>0</v>
      </c>
      <c r="V74" s="13" t="n">
        <f aca="false">IF(P74&lt;&gt;"",P74,U74)</f>
        <v>0</v>
      </c>
      <c r="W74" s="13" t="n">
        <f aca="false">IF(R74&lt;&gt;"",R74,V74)</f>
        <v>0</v>
      </c>
      <c r="X74" s="13" t="n">
        <f aca="false">IFERROR(INDEX(T74:W74,MATCH(S74,{"Lyx","Premium","Medium","Basic"},0)),T74)</f>
        <v>0</v>
      </c>
    </row>
    <row r="75" customFormat="false" ht="15" hidden="false" customHeight="false" outlineLevel="0" collapsed="false">
      <c r="A75" s="10" t="s">
        <v>56</v>
      </c>
      <c r="B75" s="10" t="s">
        <v>57</v>
      </c>
      <c r="C75" s="35" t="s">
        <v>221</v>
      </c>
      <c r="D75" s="35" t="s">
        <v>222</v>
      </c>
      <c r="E75" s="10" t="s">
        <v>111</v>
      </c>
      <c r="F75" s="10" t="s">
        <v>169</v>
      </c>
      <c r="G75" s="10"/>
      <c r="H75" s="10"/>
      <c r="I75" s="10"/>
      <c r="J75" s="11" t="n">
        <v>0</v>
      </c>
      <c r="K75" s="38" t="s">
        <v>114</v>
      </c>
      <c r="L75" s="39" t="n">
        <f aca="false">J75</f>
        <v>0</v>
      </c>
      <c r="M75" s="40"/>
      <c r="N75" s="41"/>
      <c r="O75" s="42"/>
      <c r="P75" s="43"/>
      <c r="Q75" s="44"/>
      <c r="R75" s="45"/>
      <c r="S75" s="46" t="s">
        <v>115</v>
      </c>
      <c r="T75" s="13" t="n">
        <f aca="false">L75</f>
        <v>0</v>
      </c>
      <c r="U75" s="13" t="n">
        <f aca="false">IF(N75&lt;&gt;"",N75,T75)</f>
        <v>0</v>
      </c>
      <c r="V75" s="13" t="n">
        <f aca="false">IF(P75&lt;&gt;"",P75,U75)</f>
        <v>0</v>
      </c>
      <c r="W75" s="13" t="n">
        <f aca="false">IF(R75&lt;&gt;"",R75,V75)</f>
        <v>0</v>
      </c>
      <c r="X75" s="13" t="n">
        <f aca="false">IFERROR(INDEX(T75:W75,MATCH(S75,{"Lyx","Premium","Medium","Basic"},0)),T75)</f>
        <v>0</v>
      </c>
    </row>
    <row r="76" customFormat="false" ht="15" hidden="false" customHeight="false" outlineLevel="0" collapsed="false">
      <c r="A76" s="14"/>
      <c r="B76" s="15" t="s">
        <v>92</v>
      </c>
      <c r="C76" s="50"/>
      <c r="D76" s="50"/>
      <c r="E76" s="14"/>
      <c r="F76" s="14"/>
      <c r="G76" s="14"/>
      <c r="H76" s="14"/>
      <c r="I76" s="14"/>
      <c r="J76" s="17"/>
      <c r="K76" s="50"/>
      <c r="L76" s="17"/>
      <c r="M76" s="50"/>
      <c r="N76" s="17"/>
      <c r="O76" s="50"/>
      <c r="P76" s="17"/>
      <c r="Q76" s="50"/>
      <c r="R76" s="17"/>
      <c r="S76" s="14"/>
      <c r="T76" s="16" t="n">
        <f aca="false">SUBTOTAL(9,T5:T75)</f>
        <v>6116523.75</v>
      </c>
      <c r="U76" s="16" t="n">
        <f aca="false">SUBTOTAL(9,U5:U75)</f>
        <v>5875318.75</v>
      </c>
      <c r="V76" s="16" t="n">
        <f aca="false">SUBTOTAL(9,V5:V75)</f>
        <v>5550495</v>
      </c>
      <c r="W76" s="16" t="n">
        <f aca="false">SUBTOTAL(9,W5:W75)</f>
        <v>5550495</v>
      </c>
      <c r="X76" s="16" t="n">
        <f aca="false">SUBTOTAL(9,X5:X75)</f>
        <v>5573773.75</v>
      </c>
    </row>
  </sheetData>
  <autoFilter ref="A4:X75"/>
  <dataValidations count="1">
    <dataValidation allowBlank="false" errorStyle="stop" operator="between" showDropDown="false" showErrorMessage="false" showInputMessage="false" sqref="S5:S75" type="list">
      <formula1>"Lyx,Premium,Medium,Basic"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1"/>
  </cols>
  <sheetData>
    <row r="1" customFormat="false" ht="17.35" hidden="false" customHeight="false" outlineLevel="0" collapsed="false">
      <c r="A1" s="1" t="s">
        <v>223</v>
      </c>
    </row>
    <row r="2" customFormat="false" ht="15" hidden="false" customHeight="false" outlineLevel="0" collapsed="false">
      <c r="A2" s="2" t="s">
        <v>224</v>
      </c>
    </row>
    <row r="4" customFormat="false" ht="15" hidden="false" customHeight="false" outlineLevel="0" collapsed="false">
      <c r="A4" s="51" t="s">
        <v>225</v>
      </c>
      <c r="B4" s="51" t="s">
        <v>226</v>
      </c>
      <c r="C4" s="51" t="s">
        <v>227</v>
      </c>
      <c r="D4" s="51" t="s">
        <v>98</v>
      </c>
      <c r="E4" s="51" t="s">
        <v>228</v>
      </c>
      <c r="F4" s="51" t="s">
        <v>229</v>
      </c>
      <c r="G4" s="51" t="s">
        <v>230</v>
      </c>
      <c r="H4" s="51" t="s">
        <v>231</v>
      </c>
      <c r="I4" s="51" t="s">
        <v>232</v>
      </c>
      <c r="J4" s="51" t="s">
        <v>233</v>
      </c>
      <c r="K4" s="51" t="s">
        <v>234</v>
      </c>
    </row>
    <row r="5" customFormat="false" ht="15" hidden="false" customHeight="false" outlineLevel="0" collapsed="false">
      <c r="A5" s="10" t="s">
        <v>235</v>
      </c>
      <c r="B5" s="10" t="s">
        <v>236</v>
      </c>
      <c r="C5" s="10" t="s">
        <v>237</v>
      </c>
      <c r="D5" s="10" t="s">
        <v>238</v>
      </c>
      <c r="E5" s="37" t="n">
        <v>19958.4</v>
      </c>
      <c r="F5" s="37" t="n">
        <v>4989.6</v>
      </c>
      <c r="G5" s="37" t="n">
        <v>0</v>
      </c>
      <c r="H5" s="52" t="n">
        <f aca="false">E5+F5+G5</f>
        <v>24948</v>
      </c>
      <c r="I5" s="37" t="n">
        <v>0</v>
      </c>
      <c r="J5" s="52" t="n">
        <f aca="false">H5+I5</f>
        <v>24948</v>
      </c>
      <c r="K5" s="10" t="s">
        <v>239</v>
      </c>
    </row>
    <row r="6" customFormat="false" ht="15" hidden="false" customHeight="false" outlineLevel="0" collapsed="false">
      <c r="A6" s="10" t="s">
        <v>240</v>
      </c>
      <c r="B6" s="10" t="s">
        <v>241</v>
      </c>
      <c r="C6" s="10" t="s">
        <v>242</v>
      </c>
      <c r="D6" s="10" t="s">
        <v>238</v>
      </c>
      <c r="E6" s="37" t="n">
        <v>167883.2</v>
      </c>
      <c r="F6" s="37" t="n">
        <v>41970.8</v>
      </c>
      <c r="G6" s="37" t="n">
        <v>0</v>
      </c>
      <c r="H6" s="52" t="n">
        <f aca="false">E6+F6+G6</f>
        <v>209854</v>
      </c>
      <c r="I6" s="37" t="n">
        <v>-27666</v>
      </c>
      <c r="J6" s="52" t="n">
        <f aca="false">H6+I6</f>
        <v>182188</v>
      </c>
      <c r="K6" s="10" t="s">
        <v>243</v>
      </c>
    </row>
    <row r="7" customFormat="false" ht="15" hidden="false" customHeight="false" outlineLevel="0" collapsed="false">
      <c r="A7" s="10" t="s">
        <v>240</v>
      </c>
      <c r="B7" s="10" t="s">
        <v>241</v>
      </c>
      <c r="C7" s="10" t="s">
        <v>244</v>
      </c>
      <c r="D7" s="10" t="s">
        <v>245</v>
      </c>
      <c r="E7" s="37" t="n">
        <v>4312.56</v>
      </c>
      <c r="F7" s="37" t="n">
        <v>1078.14</v>
      </c>
      <c r="G7" s="37" t="n">
        <v>0.3</v>
      </c>
      <c r="H7" s="52" t="n">
        <f aca="false">E7+F7+G7</f>
        <v>5391</v>
      </c>
      <c r="I7" s="37" t="n">
        <v>0</v>
      </c>
      <c r="J7" s="52" t="n">
        <f aca="false">H7+I7</f>
        <v>5391</v>
      </c>
      <c r="K7" s="10" t="s">
        <v>243</v>
      </c>
    </row>
    <row r="8" customFormat="false" ht="15" hidden="false" customHeight="false" outlineLevel="0" collapsed="false">
      <c r="A8" s="10" t="s">
        <v>240</v>
      </c>
      <c r="B8" s="10" t="s">
        <v>241</v>
      </c>
      <c r="C8" s="10" t="s">
        <v>246</v>
      </c>
      <c r="D8" s="10" t="s">
        <v>245</v>
      </c>
      <c r="E8" s="37" t="n">
        <v>55988.8</v>
      </c>
      <c r="F8" s="37" t="n">
        <v>13997.2</v>
      </c>
      <c r="G8" s="37" t="n">
        <v>0</v>
      </c>
      <c r="H8" s="52" t="n">
        <f aca="false">E8+F8+G8</f>
        <v>69986</v>
      </c>
      <c r="I8" s="37" t="n">
        <v>0</v>
      </c>
      <c r="J8" s="52" t="n">
        <f aca="false">H8+I8</f>
        <v>69986</v>
      </c>
      <c r="K8" s="10" t="s">
        <v>247</v>
      </c>
    </row>
    <row r="9" customFormat="false" ht="15" hidden="false" customHeight="false" outlineLevel="0" collapsed="false">
      <c r="A9" s="10" t="s">
        <v>248</v>
      </c>
      <c r="B9" s="10" t="s">
        <v>236</v>
      </c>
      <c r="C9" s="10" t="s">
        <v>249</v>
      </c>
      <c r="D9" s="10" t="s">
        <v>238</v>
      </c>
      <c r="E9" s="37" t="n">
        <v>17236.8</v>
      </c>
      <c r="F9" s="37" t="n">
        <v>4309.2</v>
      </c>
      <c r="G9" s="37" t="n">
        <v>0</v>
      </c>
      <c r="H9" s="52" t="n">
        <f aca="false">E9+F9+G9</f>
        <v>21546</v>
      </c>
      <c r="I9" s="37" t="n">
        <v>0</v>
      </c>
      <c r="J9" s="52" t="n">
        <f aca="false">H9+I9</f>
        <v>21546</v>
      </c>
      <c r="K9" s="10" t="s">
        <v>250</v>
      </c>
    </row>
    <row r="10" customFormat="false" ht="15" hidden="false" customHeight="false" outlineLevel="0" collapsed="false">
      <c r="A10" s="10" t="s">
        <v>248</v>
      </c>
      <c r="B10" s="10" t="s">
        <v>236</v>
      </c>
      <c r="C10" s="10" t="s">
        <v>251</v>
      </c>
      <c r="D10" s="10" t="s">
        <v>238</v>
      </c>
      <c r="E10" s="37" t="n">
        <v>22680</v>
      </c>
      <c r="F10" s="37" t="n">
        <v>5670</v>
      </c>
      <c r="G10" s="37" t="n">
        <v>0</v>
      </c>
      <c r="H10" s="52" t="n">
        <f aca="false">E10+F10+G10</f>
        <v>28350</v>
      </c>
      <c r="I10" s="37" t="n">
        <v>0</v>
      </c>
      <c r="J10" s="52" t="n">
        <f aca="false">H10+I10</f>
        <v>28350</v>
      </c>
      <c r="K10" s="10" t="s">
        <v>250</v>
      </c>
    </row>
    <row r="11" customFormat="false" ht="15" hidden="false" customHeight="false" outlineLevel="0" collapsed="false">
      <c r="A11" s="10" t="s">
        <v>252</v>
      </c>
      <c r="B11" s="10" t="s">
        <v>241</v>
      </c>
      <c r="C11" s="10" t="s">
        <v>253</v>
      </c>
      <c r="D11" s="10" t="s">
        <v>238</v>
      </c>
      <c r="E11" s="37" t="n">
        <v>44058.91</v>
      </c>
      <c r="F11" s="37" t="n">
        <v>11014.73</v>
      </c>
      <c r="G11" s="37" t="n">
        <v>0.36</v>
      </c>
      <c r="H11" s="52" t="n">
        <f aca="false">E11+F11+G11</f>
        <v>55074</v>
      </c>
      <c r="I11" s="37" t="n">
        <v>0</v>
      </c>
      <c r="J11" s="52" t="n">
        <f aca="false">H11+I11</f>
        <v>55074</v>
      </c>
      <c r="K11" s="10" t="s">
        <v>254</v>
      </c>
    </row>
    <row r="12" customFormat="false" ht="15" hidden="false" customHeight="false" outlineLevel="0" collapsed="false">
      <c r="A12" s="10" t="s">
        <v>252</v>
      </c>
      <c r="B12" s="10" t="s">
        <v>241</v>
      </c>
      <c r="C12" s="10" t="s">
        <v>255</v>
      </c>
      <c r="D12" s="10" t="s">
        <v>245</v>
      </c>
      <c r="E12" s="37" t="n">
        <v>67332.33</v>
      </c>
      <c r="F12" s="37" t="n">
        <v>16833.08</v>
      </c>
      <c r="G12" s="37" t="n">
        <v>-0.41</v>
      </c>
      <c r="H12" s="52" t="n">
        <f aca="false">E12+F12+G12</f>
        <v>84165</v>
      </c>
      <c r="I12" s="37" t="n">
        <v>0</v>
      </c>
      <c r="J12" s="52" t="n">
        <f aca="false">H12+I12</f>
        <v>84165</v>
      </c>
      <c r="K12" s="10" t="s">
        <v>254</v>
      </c>
    </row>
    <row r="13" customFormat="false" ht="15" hidden="false" customHeight="false" outlineLevel="0" collapsed="false">
      <c r="A13" s="10" t="s">
        <v>256</v>
      </c>
      <c r="B13" s="10" t="s">
        <v>236</v>
      </c>
      <c r="C13" s="10" t="s">
        <v>257</v>
      </c>
      <c r="D13" s="10" t="s">
        <v>238</v>
      </c>
      <c r="E13" s="37" t="n">
        <v>54432</v>
      </c>
      <c r="F13" s="37" t="n">
        <v>13608</v>
      </c>
      <c r="G13" s="37" t="n">
        <v>0</v>
      </c>
      <c r="H13" s="52" t="n">
        <f aca="false">E13+F13+G13</f>
        <v>68040</v>
      </c>
      <c r="I13" s="37" t="n">
        <v>0</v>
      </c>
      <c r="J13" s="52" t="n">
        <f aca="false">H13+I13</f>
        <v>68040</v>
      </c>
      <c r="K13" s="10" t="s">
        <v>258</v>
      </c>
    </row>
    <row r="14" customFormat="false" ht="15" hidden="false" customHeight="false" outlineLevel="0" collapsed="false">
      <c r="A14" s="10" t="s">
        <v>259</v>
      </c>
      <c r="B14" s="10" t="s">
        <v>241</v>
      </c>
      <c r="C14" s="10" t="s">
        <v>260</v>
      </c>
      <c r="D14" s="10" t="s">
        <v>238</v>
      </c>
      <c r="E14" s="37" t="n">
        <v>240279.93</v>
      </c>
      <c r="F14" s="37" t="n">
        <v>60069.98</v>
      </c>
      <c r="G14" s="37" t="n">
        <v>0.09</v>
      </c>
      <c r="H14" s="52" t="n">
        <f aca="false">E14+F14+G14</f>
        <v>300350</v>
      </c>
      <c r="I14" s="37" t="n">
        <v>0</v>
      </c>
      <c r="J14" s="52" t="n">
        <f aca="false">H14+I14</f>
        <v>300350</v>
      </c>
      <c r="K14" s="10" t="s">
        <v>261</v>
      </c>
    </row>
    <row r="15" customFormat="false" ht="15" hidden="false" customHeight="false" outlineLevel="0" collapsed="false">
      <c r="A15" s="10" t="s">
        <v>259</v>
      </c>
      <c r="B15" s="10" t="s">
        <v>241</v>
      </c>
      <c r="C15" s="10" t="s">
        <v>262</v>
      </c>
      <c r="D15" s="10" t="s">
        <v>245</v>
      </c>
      <c r="E15" s="37" t="n">
        <v>52736.44</v>
      </c>
      <c r="F15" s="37" t="n">
        <v>13184.11</v>
      </c>
      <c r="G15" s="37" t="n">
        <v>0.45</v>
      </c>
      <c r="H15" s="52" t="n">
        <f aca="false">E15+F15+G15</f>
        <v>65921</v>
      </c>
      <c r="I15" s="37" t="n">
        <v>0</v>
      </c>
      <c r="J15" s="52" t="n">
        <f aca="false">H15+I15</f>
        <v>65921</v>
      </c>
      <c r="K15" s="10" t="s">
        <v>261</v>
      </c>
    </row>
    <row r="16" customFormat="false" ht="15" hidden="false" customHeight="false" outlineLevel="0" collapsed="false">
      <c r="A16" s="29"/>
      <c r="B16" s="28" t="s">
        <v>92</v>
      </c>
      <c r="C16" s="29"/>
      <c r="D16" s="29"/>
      <c r="E16" s="53" t="n">
        <f aca="false">SUM(E5:E15)</f>
        <v>746899.37</v>
      </c>
      <c r="F16" s="53" t="n">
        <f aca="false">SUM(F5:F15)</f>
        <v>186724.84</v>
      </c>
      <c r="G16" s="53" t="n">
        <f aca="false">SUM(G5:G15)</f>
        <v>0.79</v>
      </c>
      <c r="H16" s="53" t="n">
        <f aca="false">SUM(H5:H15)</f>
        <v>933625</v>
      </c>
      <c r="I16" s="53" t="n">
        <f aca="false">SUM(I5:I15)</f>
        <v>-27666</v>
      </c>
      <c r="J16" s="53" t="n">
        <f aca="false">SUM(J5:J15)</f>
        <v>905959</v>
      </c>
      <c r="K16" s="2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263</v>
      </c>
    </row>
    <row r="3" customFormat="false" ht="15" hidden="false" customHeight="false" outlineLevel="0" collapsed="false">
      <c r="A3" s="3" t="s">
        <v>264</v>
      </c>
      <c r="B3" s="54" t="s">
        <v>265</v>
      </c>
    </row>
    <row r="4" customFormat="false" ht="15" hidden="false" customHeight="false" outlineLevel="0" collapsed="false">
      <c r="A4" s="3" t="s">
        <v>266</v>
      </c>
      <c r="B4" s="54" t="s">
        <v>267</v>
      </c>
    </row>
    <row r="5" customFormat="false" ht="23.85" hidden="false" customHeight="false" outlineLevel="0" collapsed="false">
      <c r="A5" s="3" t="s">
        <v>268</v>
      </c>
      <c r="B5" s="54" t="s">
        <v>269</v>
      </c>
    </row>
    <row r="6" customFormat="false" ht="23.85" hidden="false" customHeight="false" outlineLevel="0" collapsed="false">
      <c r="A6" s="3" t="s">
        <v>270</v>
      </c>
      <c r="B6" s="54" t="s">
        <v>271</v>
      </c>
    </row>
    <row r="7" customFormat="false" ht="15" hidden="false" customHeight="false" outlineLevel="0" collapsed="false">
      <c r="A7" s="3" t="s">
        <v>272</v>
      </c>
      <c r="B7" s="54" t="s">
        <v>273</v>
      </c>
    </row>
    <row r="8" customFormat="false" ht="15" hidden="false" customHeight="false" outlineLevel="0" collapsed="false">
      <c r="A8" s="3" t="s">
        <v>274</v>
      </c>
      <c r="B8" s="54" t="s">
        <v>275</v>
      </c>
    </row>
    <row r="9" customFormat="false" ht="15" hidden="false" customHeight="false" outlineLevel="0" collapsed="false">
      <c r="A9" s="3" t="s">
        <v>276</v>
      </c>
      <c r="B9" s="54" t="s">
        <v>277</v>
      </c>
    </row>
    <row r="10" customFormat="false" ht="15" hidden="false" customHeight="false" outlineLevel="0" collapsed="false">
      <c r="A10" s="3" t="s">
        <v>278</v>
      </c>
      <c r="B10" s="54" t="s">
        <v>279</v>
      </c>
    </row>
    <row r="11" customFormat="false" ht="15" hidden="false" customHeight="false" outlineLevel="0" collapsed="false">
      <c r="A11" s="3" t="s">
        <v>98</v>
      </c>
      <c r="B11" s="54" t="s">
        <v>280</v>
      </c>
    </row>
    <row r="12" customFormat="false" ht="15" hidden="false" customHeight="false" outlineLevel="0" collapsed="false">
      <c r="A12" s="3" t="s">
        <v>99</v>
      </c>
      <c r="B12" s="54" t="s">
        <v>281</v>
      </c>
    </row>
    <row r="13" customFormat="false" ht="15" hidden="false" customHeight="false" outlineLevel="0" collapsed="false">
      <c r="A13" s="3" t="s">
        <v>84</v>
      </c>
      <c r="B13" s="54" t="s">
        <v>282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2026-10-17T19:58:37Z</dcterms:created>
  <dc:creator>openpyxl</dc:creator>
  <dc:description/>
  <dc:language>en-US</dc:language>
  <cp:lastModifiedBy/>
  <dcterms:modified xsi:type="dcterms:W3CDTF">2026-10-17T19:58:37Z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